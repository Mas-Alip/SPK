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K BAIK\Documents\MK SPK\salinan\spk_kelayakan_kredit\"/>
    </mc:Choice>
  </mc:AlternateContent>
  <xr:revisionPtr revIDLastSave="0" documentId="13_ncr:1_{85E912DC-1EB5-44FC-B13E-08F4D27F05C1}" xr6:coauthVersionLast="47" xr6:coauthVersionMax="47" xr10:uidLastSave="{00000000-0000-0000-0000-000000000000}"/>
  <bookViews>
    <workbookView xWindow="-120" yWindow="-120" windowWidth="20730" windowHeight="11760" firstSheet="9" activeTab="11" xr2:uid="{00000000-000D-0000-FFFF-FFFF00000000}"/>
  </bookViews>
  <sheets>
    <sheet name="Criteria_Pairwise" sheetId="1" r:id="rId1"/>
    <sheet name="Criteria_Normalized" sheetId="2" r:id="rId2"/>
    <sheet name="Alternatives_Data" sheetId="3" r:id="rId3"/>
    <sheet name="Alt_Pairwise_Usia" sheetId="4" r:id="rId4"/>
    <sheet name="Alt_Normalized_Usia" sheetId="5" r:id="rId5"/>
    <sheet name="Alt_Pairwise_Pendapatan" sheetId="6" r:id="rId6"/>
    <sheet name="Alt_Normalized_Pendapatan" sheetId="7" r:id="rId7"/>
    <sheet name="Alt_Pairwise_Jaminan" sheetId="8" r:id="rId8"/>
    <sheet name="Alt_Normalized_Jaminan" sheetId="9" r:id="rId9"/>
    <sheet name="Alt_Pairwise_Pekerjaan" sheetId="10" r:id="rId10"/>
    <sheet name="Alt_Normalized_Pekerjaan" sheetId="11" r:id="rId11"/>
    <sheet name="Aggreg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B10" i="2"/>
  <c r="G2" i="2"/>
  <c r="B2" i="2"/>
  <c r="B11" i="2"/>
  <c r="E5" i="10"/>
  <c r="D5" i="10"/>
  <c r="C5" i="10"/>
  <c r="B5" i="10"/>
  <c r="E4" i="10"/>
  <c r="D4" i="10"/>
  <c r="C4" i="10"/>
  <c r="B4" i="10"/>
  <c r="E3" i="10"/>
  <c r="D3" i="10"/>
  <c r="C3" i="10"/>
  <c r="B3" i="10"/>
  <c r="E2" i="10"/>
  <c r="D2" i="10"/>
  <c r="C2" i="10"/>
  <c r="B2" i="10"/>
  <c r="E5" i="8"/>
  <c r="D5" i="8"/>
  <c r="C5" i="8"/>
  <c r="B5" i="8"/>
  <c r="E4" i="8"/>
  <c r="D4" i="8"/>
  <c r="C4" i="8"/>
  <c r="B4" i="8"/>
  <c r="E3" i="8"/>
  <c r="D3" i="8"/>
  <c r="C3" i="8"/>
  <c r="B3" i="8"/>
  <c r="E2" i="8"/>
  <c r="D2" i="8"/>
  <c r="C2" i="8"/>
  <c r="B2" i="8"/>
  <c r="E5" i="6"/>
  <c r="D5" i="6"/>
  <c r="C5" i="6"/>
  <c r="B5" i="6"/>
  <c r="E4" i="6"/>
  <c r="D4" i="6"/>
  <c r="C4" i="6"/>
  <c r="B4" i="6"/>
  <c r="E3" i="6"/>
  <c r="D3" i="6"/>
  <c r="C3" i="6"/>
  <c r="B3" i="6"/>
  <c r="E2" i="6"/>
  <c r="D2" i="6"/>
  <c r="C2" i="6"/>
  <c r="B2" i="6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7" i="1"/>
  <c r="D7" i="1"/>
  <c r="C7" i="1"/>
  <c r="B7" i="1"/>
  <c r="B5" i="2" l="1"/>
  <c r="B4" i="2"/>
  <c r="B3" i="2"/>
  <c r="C5" i="2"/>
  <c r="C4" i="2"/>
  <c r="C3" i="2"/>
  <c r="C2" i="2"/>
  <c r="D5" i="2"/>
  <c r="D4" i="2"/>
  <c r="D3" i="2"/>
  <c r="D2" i="2"/>
  <c r="E5" i="2"/>
  <c r="E4" i="2"/>
  <c r="E3" i="2"/>
  <c r="E2" i="2"/>
  <c r="B6" i="4"/>
  <c r="B2" i="5" s="1"/>
  <c r="C6" i="4"/>
  <c r="C2" i="5" s="1"/>
  <c r="D6" i="4"/>
  <c r="D2" i="5" s="1"/>
  <c r="E6" i="4"/>
  <c r="E2" i="5" s="1"/>
  <c r="B3" i="5"/>
  <c r="C3" i="5"/>
  <c r="D3" i="5"/>
  <c r="E3" i="5"/>
  <c r="B4" i="5"/>
  <c r="C4" i="5"/>
  <c r="D4" i="5"/>
  <c r="E4" i="5"/>
  <c r="B5" i="5"/>
  <c r="C5" i="5"/>
  <c r="D5" i="5"/>
  <c r="E5" i="5"/>
  <c r="B6" i="6"/>
  <c r="B2" i="7" s="1"/>
  <c r="C6" i="6"/>
  <c r="C2" i="7" s="1"/>
  <c r="D6" i="6"/>
  <c r="D2" i="7" s="1"/>
  <c r="E6" i="6"/>
  <c r="E2" i="7" s="1"/>
  <c r="B3" i="7"/>
  <c r="C3" i="7"/>
  <c r="D3" i="7"/>
  <c r="E3" i="7"/>
  <c r="B4" i="7"/>
  <c r="C4" i="7"/>
  <c r="D4" i="7"/>
  <c r="E4" i="7"/>
  <c r="B5" i="7"/>
  <c r="C5" i="7"/>
  <c r="D5" i="7"/>
  <c r="E5" i="7"/>
  <c r="B6" i="8"/>
  <c r="B2" i="9" s="1"/>
  <c r="C6" i="8"/>
  <c r="C2" i="9" s="1"/>
  <c r="D6" i="8"/>
  <c r="D2" i="9" s="1"/>
  <c r="E6" i="8"/>
  <c r="E2" i="9" s="1"/>
  <c r="B3" i="9"/>
  <c r="C3" i="9"/>
  <c r="D3" i="9"/>
  <c r="E3" i="9"/>
  <c r="B4" i="9"/>
  <c r="C4" i="9"/>
  <c r="D4" i="9"/>
  <c r="E4" i="9"/>
  <c r="B5" i="9"/>
  <c r="C5" i="9"/>
  <c r="D5" i="9"/>
  <c r="E5" i="9"/>
  <c r="B6" i="10"/>
  <c r="B2" i="11" s="1"/>
  <c r="G2" i="11" s="1"/>
  <c r="E2" i="12" s="1"/>
  <c r="C6" i="10"/>
  <c r="C2" i="11" s="1"/>
  <c r="D6" i="10"/>
  <c r="D2" i="11" s="1"/>
  <c r="E6" i="10"/>
  <c r="E2" i="11" s="1"/>
  <c r="B3" i="11"/>
  <c r="G3" i="11" s="1"/>
  <c r="E3" i="12" s="1"/>
  <c r="C3" i="11"/>
  <c r="D3" i="11"/>
  <c r="E3" i="11"/>
  <c r="B4" i="11"/>
  <c r="G4" i="11" s="1"/>
  <c r="E4" i="12" s="1"/>
  <c r="C4" i="11"/>
  <c r="D4" i="11"/>
  <c r="E4" i="11"/>
  <c r="B5" i="11"/>
  <c r="G5" i="11" s="1"/>
  <c r="E5" i="12" s="1"/>
  <c r="C5" i="11"/>
  <c r="D5" i="11"/>
  <c r="E5" i="11"/>
  <c r="G5" i="9" l="1"/>
  <c r="D5" i="12" s="1"/>
  <c r="G4" i="9"/>
  <c r="D4" i="12" s="1"/>
  <c r="G3" i="9"/>
  <c r="D3" i="12" s="1"/>
  <c r="G2" i="9"/>
  <c r="D2" i="12" s="1"/>
  <c r="G5" i="7"/>
  <c r="C5" i="12" s="1"/>
  <c r="G4" i="7"/>
  <c r="C4" i="12" s="1"/>
  <c r="G3" i="7"/>
  <c r="C3" i="12" s="1"/>
  <c r="G2" i="7"/>
  <c r="C2" i="12" s="1"/>
  <c r="G5" i="5"/>
  <c r="B5" i="12" s="1"/>
  <c r="G4" i="5"/>
  <c r="B4" i="12" s="1"/>
  <c r="G3" i="5"/>
  <c r="B3" i="12" s="1"/>
  <c r="G2" i="5"/>
  <c r="B2" i="12" s="1"/>
  <c r="B7" i="12"/>
  <c r="G3" i="2"/>
  <c r="C7" i="12" s="1"/>
  <c r="G4" i="2"/>
  <c r="D7" i="12" s="1"/>
  <c r="G5" i="2"/>
  <c r="E7" i="12" s="1"/>
  <c r="H5" i="12"/>
  <c r="H4" i="12"/>
  <c r="H3" i="12"/>
  <c r="H2" i="12"/>
  <c r="B12" i="2"/>
</calcChain>
</file>

<file path=xl/sharedStrings.xml><?xml version="1.0" encoding="utf-8"?>
<sst xmlns="http://schemas.openxmlformats.org/spreadsheetml/2006/main" count="114" uniqueCount="18">
  <si>
    <t>Usia</t>
  </si>
  <si>
    <t>Pendapatan</t>
  </si>
  <si>
    <t>Jaminan</t>
  </si>
  <si>
    <t>Pekerjaan</t>
  </si>
  <si>
    <t>Column Sum</t>
  </si>
  <si>
    <t>Weight</t>
  </si>
  <si>
    <t>lambda_max</t>
  </si>
  <si>
    <t>n</t>
  </si>
  <si>
    <t>CI</t>
  </si>
  <si>
    <t>RI</t>
  </si>
  <si>
    <t>CR</t>
  </si>
  <si>
    <t>Alternative</t>
  </si>
  <si>
    <t>Alt A</t>
  </si>
  <si>
    <t>Alt B</t>
  </si>
  <si>
    <t>Alt C</t>
  </si>
  <si>
    <t>Alt D</t>
  </si>
  <si>
    <t>Local Priority</t>
  </si>
  <si>
    <t>Global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</si>
</sst>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7" sqref="E7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 s="1">
        <v>1</v>
      </c>
      <c r="C2" s="1">
        <v>0.2</v>
      </c>
      <c r="D2" s="1">
        <v>0.33333333333333331</v>
      </c>
      <c r="E2" s="1">
        <v>0.5</v>
      </c>
    </row>
    <row r="3" spans="1:5" x14ac:dyDescent="0.25">
      <c r="A3" t="s">
        <v>1</v>
      </c>
      <c r="B3" s="1">
        <v>0.2</v>
      </c>
      <c r="C3" s="1">
        <v>1</v>
      </c>
      <c r="D3" s="1">
        <v>1</v>
      </c>
      <c r="E3" s="1">
        <v>3</v>
      </c>
    </row>
    <row r="4" spans="1:5" x14ac:dyDescent="0.25">
      <c r="A4" t="s">
        <v>2</v>
      </c>
      <c r="B4" s="1">
        <v>0.33333333333333331</v>
      </c>
      <c r="C4" s="1">
        <v>1</v>
      </c>
      <c r="D4" s="1">
        <v>1</v>
      </c>
      <c r="E4" s="1">
        <v>6</v>
      </c>
    </row>
    <row r="5" spans="1:5" x14ac:dyDescent="0.25">
      <c r="A5" t="s">
        <v>3</v>
      </c>
      <c r="B5" s="1">
        <v>0.2</v>
      </c>
      <c r="C5" s="1">
        <v>3</v>
      </c>
      <c r="D5" s="1">
        <v>6</v>
      </c>
      <c r="E5" s="1">
        <v>1</v>
      </c>
    </row>
    <row r="6" spans="1:5" x14ac:dyDescent="0.25">
      <c r="B6" s="1"/>
      <c r="C6" s="1"/>
      <c r="D6" s="1"/>
      <c r="E6" s="1"/>
    </row>
    <row r="7" spans="1:5" x14ac:dyDescent="0.25">
      <c r="A7" t="s">
        <v>4</v>
      </c>
      <c r="B7" s="1">
        <f>SUM(B2:B5)</f>
        <v>1.7333333333333332</v>
      </c>
      <c r="C7" s="1">
        <f>SUM(C2:C5)</f>
        <v>5.2</v>
      </c>
      <c r="D7" s="1">
        <f>SUM(D2:D5)</f>
        <v>8.3333333333333321</v>
      </c>
      <c r="E7" s="1">
        <f>SUM(E2:E5)</f>
        <v>10.5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9" sqref="G9"/>
    </sheetView>
  </sheetViews>
  <sheetFormatPr defaultRowHeight="15" x14ac:dyDescent="0.25"/>
  <cols>
    <col min="2" max="2" width="16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G1" t="s">
        <v>5</v>
      </c>
    </row>
    <row r="2" spans="1:7" x14ac:dyDescent="0.25">
      <c r="A2" t="s">
        <v>0</v>
      </c>
      <c r="B2">
        <f>Criteria_Pairwise!B2/Criteria_Pairwise!B7</f>
        <v>0.57692307692307698</v>
      </c>
      <c r="C2">
        <f>Criteria_Pairwise!C2/Criteria_Pairwise!C7</f>
        <v>3.8461538461538464E-2</v>
      </c>
      <c r="D2">
        <f>Criteria_Pairwise!D2/Criteria_Pairwise!D7</f>
        <v>0.04</v>
      </c>
      <c r="E2">
        <f>Criteria_Pairwise!E2/Criteria_Pairwise!E7</f>
        <v>4.7619047619047616E-2</v>
      </c>
      <c r="G2">
        <f>AVERAGE(B2:E2)</f>
        <v>0.17575091575091578</v>
      </c>
    </row>
    <row r="3" spans="1:7" x14ac:dyDescent="0.25">
      <c r="A3" t="s">
        <v>1</v>
      </c>
      <c r="B3">
        <f>Criteria_Pairwise!B3/Criteria_Pairwise!B7</f>
        <v>0.1153846153846154</v>
      </c>
      <c r="C3">
        <f>Criteria_Pairwise!C3/Criteria_Pairwise!C7</f>
        <v>0.19230769230769229</v>
      </c>
      <c r="D3">
        <f>Criteria_Pairwise!D3/Criteria_Pairwise!D7</f>
        <v>0.12000000000000002</v>
      </c>
      <c r="E3">
        <f>Criteria_Pairwise!E3/Criteria_Pairwise!E7</f>
        <v>0.2857142857142857</v>
      </c>
      <c r="G3">
        <f>AVERAGE(B3:E3)</f>
        <v>0.17835164835164835</v>
      </c>
    </row>
    <row r="4" spans="1:7" x14ac:dyDescent="0.25">
      <c r="A4" t="s">
        <v>2</v>
      </c>
      <c r="B4">
        <f>Criteria_Pairwise!B4/Criteria_Pairwise!B7</f>
        <v>0.19230769230769232</v>
      </c>
      <c r="C4">
        <f>Criteria_Pairwise!C4/Criteria_Pairwise!C7</f>
        <v>0.19230769230769229</v>
      </c>
      <c r="D4">
        <f>Criteria_Pairwise!D4/Criteria_Pairwise!D7</f>
        <v>0.12000000000000002</v>
      </c>
      <c r="E4">
        <f>Criteria_Pairwise!E4/Criteria_Pairwise!E7</f>
        <v>0.5714285714285714</v>
      </c>
      <c r="G4">
        <f>AVERAGE(B4:E4)</f>
        <v>0.26901098901098897</v>
      </c>
    </row>
    <row r="5" spans="1:7" x14ac:dyDescent="0.25">
      <c r="A5" t="s">
        <v>3</v>
      </c>
      <c r="B5">
        <f>Criteria_Pairwise!B5/Criteria_Pairwise!B7</f>
        <v>0.1153846153846154</v>
      </c>
      <c r="C5">
        <f>Criteria_Pairwise!C5/Criteria_Pairwise!C7</f>
        <v>0.57692307692307687</v>
      </c>
      <c r="D5">
        <f>Criteria_Pairwise!D5/Criteria_Pairwise!D7</f>
        <v>0.72000000000000008</v>
      </c>
      <c r="E5">
        <f>Criteria_Pairwise!E5/Criteria_Pairwise!E7</f>
        <v>9.5238095238095233E-2</v>
      </c>
      <c r="G5">
        <f>AVERAGE(B5:E5)</f>
        <v>0.3768864468864469</v>
      </c>
    </row>
    <row r="7" spans="1:7" x14ac:dyDescent="0.25">
      <c r="G7" s="1">
        <f>SUMPRODUCT(Criteria_Normalized!G2:G5)</f>
        <v>1</v>
      </c>
    </row>
    <row r="8" spans="1:7" x14ac:dyDescent="0.25">
      <c r="A8" t="s">
        <v>6</v>
      </c>
      <c r="G8">
        <f>IF(G7&gt;0,(G7-4)/(4-1),0)</f>
        <v>-1</v>
      </c>
    </row>
    <row r="9" spans="1:7" x14ac:dyDescent="0.25">
      <c r="A9" t="s">
        <v>7</v>
      </c>
      <c r="B9">
        <v>4</v>
      </c>
    </row>
    <row r="10" spans="1:7" x14ac:dyDescent="0.25">
      <c r="A10" t="s">
        <v>8</v>
      </c>
      <c r="B10">
        <f>(G7-B9)/(B9-1)</f>
        <v>-1</v>
      </c>
    </row>
    <row r="11" spans="1:7" x14ac:dyDescent="0.25">
      <c r="A11" t="s">
        <v>9</v>
      </c>
      <c r="B11">
        <f>CHOOSE(B9,0,0,0.58,0.9,1.12,1.24,1.32,1.41,1.45,1.49)</f>
        <v>0.9</v>
      </c>
    </row>
    <row r="12" spans="1:7" x14ac:dyDescent="0.25">
      <c r="A12" t="s">
        <v>10</v>
      </c>
      <c r="B12">
        <f>IF(B11=0,0,B10/B11)</f>
        <v>-1.1111111111111112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2" sqref="E2"/>
    </sheetView>
  </sheetViews>
  <sheetFormatPr defaultRowHeight="15" x14ac:dyDescent="0.25"/>
  <cols>
    <col min="1" max="1" width="18.85546875" customWidth="1"/>
    <col min="3" max="3" width="17.28515625" customWidth="1"/>
    <col min="4" max="4" width="16.42578125" customWidth="1"/>
    <col min="5" max="5" width="15.140625" customWidth="1"/>
  </cols>
  <sheetData>
    <row r="1" spans="1:5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12</v>
      </c>
      <c r="B2">
        <v>3</v>
      </c>
      <c r="C2">
        <v>3</v>
      </c>
      <c r="D2">
        <v>1</v>
      </c>
    </row>
    <row r="3" spans="1:5" x14ac:dyDescent="0.25">
      <c r="A3" t="s">
        <v>13</v>
      </c>
      <c r="B3">
        <v>3</v>
      </c>
      <c r="C3">
        <v>1</v>
      </c>
      <c r="D3">
        <v>2</v>
      </c>
    </row>
    <row r="4" spans="1:5" x14ac:dyDescent="0.25">
      <c r="A4" t="s">
        <v>14</v>
      </c>
      <c r="B4">
        <v>2</v>
      </c>
      <c r="C4">
        <v>2</v>
      </c>
      <c r="D4">
        <v>3</v>
      </c>
    </row>
    <row r="5" spans="1:5" x14ac:dyDescent="0.25">
      <c r="A5" t="s">
        <v>15</v>
      </c>
      <c r="B5">
        <v>3</v>
      </c>
      <c r="C5">
        <v>3</v>
      </c>
      <c r="D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2" sqref="B2"/>
    </sheetView>
  </sheetViews>
  <sheetFormatPr defaultRowHeight="15" x14ac:dyDescent="0.25"/>
  <cols>
    <col min="1" max="1" width="15.5703125" customWidth="1"/>
    <col min="2" max="2" width="15.140625" customWidth="1"/>
    <col min="3" max="3" width="16" customWidth="1"/>
    <col min="4" max="4" width="15.42578125" customWidth="1"/>
    <col min="5" max="5" width="15.85546875" customWidth="1"/>
  </cols>
  <sheetData>
    <row r="1" spans="1:5" x14ac:dyDescent="0.25"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12</v>
      </c>
      <c r="B2">
        <f>Alternatives_Data!B2/Alternatives_Data!B2</f>
        <v>1</v>
      </c>
      <c r="C2">
        <f>Alternatives_Data!B2/Alternatives_Data!B3</f>
        <v>1</v>
      </c>
      <c r="D2">
        <f>Alternatives_Data!B2/Alternatives_Data!B4</f>
        <v>1.5</v>
      </c>
      <c r="E2">
        <f>Alternatives_Data!B2/Alternatives_Data!B5</f>
        <v>1</v>
      </c>
    </row>
    <row r="3" spans="1:5" x14ac:dyDescent="0.25">
      <c r="A3" t="s">
        <v>13</v>
      </c>
      <c r="B3">
        <f>Alternatives_Data!B3/Alternatives_Data!B2</f>
        <v>1</v>
      </c>
      <c r="C3">
        <f>Alternatives_Data!B3/Alternatives_Data!B3</f>
        <v>1</v>
      </c>
      <c r="D3">
        <f>Alternatives_Data!B3/Alternatives_Data!B4</f>
        <v>1.5</v>
      </c>
      <c r="E3">
        <f>Alternatives_Data!B3/Alternatives_Data!B5</f>
        <v>1</v>
      </c>
    </row>
    <row r="4" spans="1:5" x14ac:dyDescent="0.25">
      <c r="A4" t="s">
        <v>14</v>
      </c>
      <c r="B4">
        <f>Alternatives_Data!B4/Alternatives_Data!B2</f>
        <v>0.66666666666666663</v>
      </c>
      <c r="C4">
        <f>Alternatives_Data!B4/Alternatives_Data!B3</f>
        <v>0.66666666666666663</v>
      </c>
      <c r="D4">
        <f>Alternatives_Data!B4/Alternatives_Data!B4</f>
        <v>1</v>
      </c>
      <c r="E4">
        <f>Alternatives_Data!B4/Alternatives_Data!B5</f>
        <v>0.66666666666666663</v>
      </c>
    </row>
    <row r="5" spans="1:5" x14ac:dyDescent="0.25">
      <c r="A5" t="s">
        <v>15</v>
      </c>
      <c r="B5">
        <f>Alternatives_Data!B5/Alternatives_Data!B2</f>
        <v>1</v>
      </c>
      <c r="C5">
        <f>Alternatives_Data!B5/Alternatives_Data!B3</f>
        <v>1</v>
      </c>
      <c r="D5">
        <f>Alternatives_Data!B5/Alternatives_Data!B4</f>
        <v>1.5</v>
      </c>
      <c r="E5">
        <f>Alternatives_Data!B5/Alternatives_Data!B5</f>
        <v>1</v>
      </c>
    </row>
    <row r="6" spans="1:5" x14ac:dyDescent="0.25">
      <c r="A6" t="s">
        <v>4</v>
      </c>
      <c r="B6">
        <f>SUM(B2:B5)</f>
        <v>3.6666666666666665</v>
      </c>
      <c r="C6">
        <f>SUM(C2:C5)</f>
        <v>3.6666666666666665</v>
      </c>
      <c r="D6">
        <f>SUM(D2:D5)</f>
        <v>5.5</v>
      </c>
      <c r="E6">
        <f>SUM(E2:E5)</f>
        <v>3.6666666666666665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5" x14ac:dyDescent="0.25"/>
  <sheetData>
    <row r="1" spans="1:7" x14ac:dyDescent="0.25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7" x14ac:dyDescent="0.25">
      <c r="A2" t="s">
        <v>12</v>
      </c>
      <c r="B2">
        <f>Alt_Pairwise_Usia!B2/Alt_Pairwise_Usia!B6</f>
        <v>0.27272727272727276</v>
      </c>
      <c r="C2">
        <f>Alt_Pairwise_Usia!C2/Alt_Pairwise_Usia!C6</f>
        <v>0.27272727272727276</v>
      </c>
      <c r="D2">
        <f>Alt_Pairwise_Usia!D2/Alt_Pairwise_Usia!D6</f>
        <v>0.27272727272727271</v>
      </c>
      <c r="E2">
        <f>Alt_Pairwise_Usia!E2/Alt_Pairwise_Usia!E6</f>
        <v>0.27272727272727276</v>
      </c>
      <c r="G2">
        <f>AVERAGE(B2:E2)</f>
        <v>0.27272727272727276</v>
      </c>
    </row>
    <row r="3" spans="1:7" x14ac:dyDescent="0.25">
      <c r="A3" t="s">
        <v>13</v>
      </c>
      <c r="B3">
        <f>Alt_Pairwise_Usia!B3/Alt_Pairwise_Usia!B6</f>
        <v>0.27272727272727276</v>
      </c>
      <c r="C3">
        <f>Alt_Pairwise_Usia!C3/Alt_Pairwise_Usia!C6</f>
        <v>0.27272727272727276</v>
      </c>
      <c r="D3">
        <f>Alt_Pairwise_Usia!D3/Alt_Pairwise_Usia!D6</f>
        <v>0.27272727272727271</v>
      </c>
      <c r="E3">
        <f>Alt_Pairwise_Usia!E3/Alt_Pairwise_Usia!E6</f>
        <v>0.27272727272727276</v>
      </c>
      <c r="G3">
        <f>AVERAGE(B3:E3)</f>
        <v>0.27272727272727276</v>
      </c>
    </row>
    <row r="4" spans="1:7" x14ac:dyDescent="0.25">
      <c r="A4" t="s">
        <v>14</v>
      </c>
      <c r="B4">
        <f>Alt_Pairwise_Usia!B4/Alt_Pairwise_Usia!B6</f>
        <v>0.18181818181818182</v>
      </c>
      <c r="C4">
        <f>Alt_Pairwise_Usia!C4/Alt_Pairwise_Usia!C6</f>
        <v>0.18181818181818182</v>
      </c>
      <c r="D4">
        <f>Alt_Pairwise_Usia!D4/Alt_Pairwise_Usia!D6</f>
        <v>0.18181818181818182</v>
      </c>
      <c r="E4">
        <f>Alt_Pairwise_Usia!E4/Alt_Pairwise_Usia!E6</f>
        <v>0.18181818181818182</v>
      </c>
      <c r="G4">
        <f>AVERAGE(B4:E4)</f>
        <v>0.18181818181818182</v>
      </c>
    </row>
    <row r="5" spans="1:7" x14ac:dyDescent="0.25">
      <c r="A5" t="s">
        <v>15</v>
      </c>
      <c r="B5">
        <f>Alt_Pairwise_Usia!B5/Alt_Pairwise_Usia!B6</f>
        <v>0.27272727272727276</v>
      </c>
      <c r="C5">
        <f>Alt_Pairwise_Usia!C5/Alt_Pairwise_Usia!C6</f>
        <v>0.27272727272727276</v>
      </c>
      <c r="D5">
        <f>Alt_Pairwise_Usia!D5/Alt_Pairwise_Usia!D6</f>
        <v>0.27272727272727271</v>
      </c>
      <c r="E5">
        <f>Alt_Pairwise_Usia!E5/Alt_Pairwise_Usia!E6</f>
        <v>0.27272727272727276</v>
      </c>
      <c r="G5">
        <f>AVERAGE(B5:E5)</f>
        <v>0.27272727272727276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sheetData>
    <row r="1" spans="1:5" x14ac:dyDescent="0.25"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12</v>
      </c>
      <c r="B2">
        <f>Alternatives_Data!C2/Alternatives_Data!C2</f>
        <v>1</v>
      </c>
      <c r="C2">
        <f>Alternatives_Data!C2/Alternatives_Data!C3</f>
        <v>3</v>
      </c>
      <c r="D2">
        <f>Alternatives_Data!C2/Alternatives_Data!C4</f>
        <v>1.5</v>
      </c>
      <c r="E2">
        <f>Alternatives_Data!C2/Alternatives_Data!C5</f>
        <v>1</v>
      </c>
    </row>
    <row r="3" spans="1:5" x14ac:dyDescent="0.25">
      <c r="A3" t="s">
        <v>13</v>
      </c>
      <c r="B3">
        <f>Alternatives_Data!C3/Alternatives_Data!C2</f>
        <v>0.33333333333333331</v>
      </c>
      <c r="C3">
        <f>Alternatives_Data!C3/Alternatives_Data!C3</f>
        <v>1</v>
      </c>
      <c r="D3">
        <f>Alternatives_Data!C3/Alternatives_Data!C4</f>
        <v>0.5</v>
      </c>
      <c r="E3">
        <f>Alternatives_Data!C3/Alternatives_Data!C5</f>
        <v>0.33333333333333331</v>
      </c>
    </row>
    <row r="4" spans="1:5" x14ac:dyDescent="0.25">
      <c r="A4" t="s">
        <v>14</v>
      </c>
      <c r="B4">
        <f>Alternatives_Data!C4/Alternatives_Data!C2</f>
        <v>0.66666666666666663</v>
      </c>
      <c r="C4">
        <f>Alternatives_Data!C4/Alternatives_Data!C3</f>
        <v>2</v>
      </c>
      <c r="D4">
        <f>Alternatives_Data!C4/Alternatives_Data!C4</f>
        <v>1</v>
      </c>
      <c r="E4">
        <f>Alternatives_Data!C4/Alternatives_Data!C5</f>
        <v>0.66666666666666663</v>
      </c>
    </row>
    <row r="5" spans="1:5" x14ac:dyDescent="0.25">
      <c r="A5" t="s">
        <v>15</v>
      </c>
      <c r="B5">
        <f>Alternatives_Data!C5/Alternatives_Data!C2</f>
        <v>1</v>
      </c>
      <c r="C5">
        <f>Alternatives_Data!C5/Alternatives_Data!C3</f>
        <v>3</v>
      </c>
      <c r="D5">
        <f>Alternatives_Data!C5/Alternatives_Data!C4</f>
        <v>1.5</v>
      </c>
      <c r="E5">
        <f>Alternatives_Data!C5/Alternatives_Data!C5</f>
        <v>1</v>
      </c>
    </row>
    <row r="6" spans="1:5" x14ac:dyDescent="0.25">
      <c r="A6" t="s">
        <v>4</v>
      </c>
      <c r="B6">
        <f>SUM(B2:B5)</f>
        <v>3</v>
      </c>
      <c r="C6">
        <f>SUM(C2:C5)</f>
        <v>9</v>
      </c>
      <c r="D6">
        <f>SUM(D2:D5)</f>
        <v>4.5</v>
      </c>
      <c r="E6">
        <f>SUM(E2:E5)</f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5" x14ac:dyDescent="0.25"/>
  <sheetData>
    <row r="1" spans="1:7" x14ac:dyDescent="0.25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7" x14ac:dyDescent="0.25">
      <c r="A2" t="s">
        <v>12</v>
      </c>
      <c r="B2">
        <f>Alt_Pairwise_Pendapatan!B2/Alt_Pairwise_Pendapatan!B6</f>
        <v>0.33333333333333331</v>
      </c>
      <c r="C2">
        <f>Alt_Pairwise_Pendapatan!C2/Alt_Pairwise_Pendapatan!C6</f>
        <v>0.33333333333333331</v>
      </c>
      <c r="D2">
        <f>Alt_Pairwise_Pendapatan!D2/Alt_Pairwise_Pendapatan!D6</f>
        <v>0.33333333333333331</v>
      </c>
      <c r="E2">
        <f>Alt_Pairwise_Pendapatan!E2/Alt_Pairwise_Pendapatan!E6</f>
        <v>0.33333333333333331</v>
      </c>
      <c r="G2">
        <f>AVERAGE(B2:E2)</f>
        <v>0.33333333333333331</v>
      </c>
    </row>
    <row r="3" spans="1:7" x14ac:dyDescent="0.25">
      <c r="A3" t="s">
        <v>13</v>
      </c>
      <c r="B3">
        <f>Alt_Pairwise_Pendapatan!B3/Alt_Pairwise_Pendapatan!B6</f>
        <v>0.1111111111111111</v>
      </c>
      <c r="C3">
        <f>Alt_Pairwise_Pendapatan!C3/Alt_Pairwise_Pendapatan!C6</f>
        <v>0.1111111111111111</v>
      </c>
      <c r="D3">
        <f>Alt_Pairwise_Pendapatan!D3/Alt_Pairwise_Pendapatan!D6</f>
        <v>0.1111111111111111</v>
      </c>
      <c r="E3">
        <f>Alt_Pairwise_Pendapatan!E3/Alt_Pairwise_Pendapatan!E6</f>
        <v>0.1111111111111111</v>
      </c>
      <c r="G3">
        <f>AVERAGE(B3:E3)</f>
        <v>0.1111111111111111</v>
      </c>
    </row>
    <row r="4" spans="1:7" x14ac:dyDescent="0.25">
      <c r="A4" t="s">
        <v>14</v>
      </c>
      <c r="B4">
        <f>Alt_Pairwise_Pendapatan!B4/Alt_Pairwise_Pendapatan!B6</f>
        <v>0.22222222222222221</v>
      </c>
      <c r="C4">
        <f>Alt_Pairwise_Pendapatan!C4/Alt_Pairwise_Pendapatan!C6</f>
        <v>0.22222222222222221</v>
      </c>
      <c r="D4">
        <f>Alt_Pairwise_Pendapatan!D4/Alt_Pairwise_Pendapatan!D6</f>
        <v>0.22222222222222221</v>
      </c>
      <c r="E4">
        <f>Alt_Pairwise_Pendapatan!E4/Alt_Pairwise_Pendapatan!E6</f>
        <v>0.22222222222222221</v>
      </c>
      <c r="G4">
        <f>AVERAGE(B4:E4)</f>
        <v>0.22222222222222221</v>
      </c>
    </row>
    <row r="5" spans="1:7" x14ac:dyDescent="0.25">
      <c r="A5" t="s">
        <v>15</v>
      </c>
      <c r="B5">
        <f>Alt_Pairwise_Pendapatan!B5/Alt_Pairwise_Pendapatan!B6</f>
        <v>0.33333333333333331</v>
      </c>
      <c r="C5">
        <f>Alt_Pairwise_Pendapatan!C5/Alt_Pairwise_Pendapatan!C6</f>
        <v>0.33333333333333331</v>
      </c>
      <c r="D5">
        <f>Alt_Pairwise_Pendapatan!D5/Alt_Pairwise_Pendapatan!D6</f>
        <v>0.33333333333333331</v>
      </c>
      <c r="E5">
        <f>Alt_Pairwise_Pendapatan!E5/Alt_Pairwise_Pendapatan!E6</f>
        <v>0.33333333333333331</v>
      </c>
      <c r="G5">
        <f>AVERAGE(B5:E5)</f>
        <v>0.33333333333333331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5" x14ac:dyDescent="0.25"/>
  <sheetData>
    <row r="1" spans="1:5" x14ac:dyDescent="0.25"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12</v>
      </c>
      <c r="B2">
        <f>Alternatives_Data!D2/Alternatives_Data!D2</f>
        <v>1</v>
      </c>
      <c r="C2">
        <f>Alternatives_Data!D2/Alternatives_Data!D3</f>
        <v>0.5</v>
      </c>
      <c r="D2">
        <f>Alternatives_Data!D2/Alternatives_Data!D4</f>
        <v>0.33333333333333331</v>
      </c>
      <c r="E2">
        <f>Alternatives_Data!D2/Alternatives_Data!D5</f>
        <v>1</v>
      </c>
    </row>
    <row r="3" spans="1:5" x14ac:dyDescent="0.25">
      <c r="A3" t="s">
        <v>13</v>
      </c>
      <c r="B3">
        <f>Alternatives_Data!D3/Alternatives_Data!D2</f>
        <v>2</v>
      </c>
      <c r="C3">
        <f>Alternatives_Data!D3/Alternatives_Data!D3</f>
        <v>1</v>
      </c>
      <c r="D3">
        <f>Alternatives_Data!D3/Alternatives_Data!D4</f>
        <v>0.66666666666666663</v>
      </c>
      <c r="E3">
        <f>Alternatives_Data!D3/Alternatives_Data!D5</f>
        <v>2</v>
      </c>
    </row>
    <row r="4" spans="1:5" x14ac:dyDescent="0.25">
      <c r="A4" t="s">
        <v>14</v>
      </c>
      <c r="B4">
        <f>Alternatives_Data!D4/Alternatives_Data!D2</f>
        <v>3</v>
      </c>
      <c r="C4">
        <f>Alternatives_Data!D4/Alternatives_Data!D3</f>
        <v>1.5</v>
      </c>
      <c r="D4">
        <f>Alternatives_Data!D4/Alternatives_Data!D4</f>
        <v>1</v>
      </c>
      <c r="E4">
        <f>Alternatives_Data!D4/Alternatives_Data!D5</f>
        <v>3</v>
      </c>
    </row>
    <row r="5" spans="1:5" x14ac:dyDescent="0.25">
      <c r="A5" t="s">
        <v>15</v>
      </c>
      <c r="B5">
        <f>Alternatives_Data!D5/Alternatives_Data!D2</f>
        <v>1</v>
      </c>
      <c r="C5">
        <f>Alternatives_Data!D5/Alternatives_Data!D3</f>
        <v>0.5</v>
      </c>
      <c r="D5">
        <f>Alternatives_Data!D5/Alternatives_Data!D4</f>
        <v>0.33333333333333331</v>
      </c>
      <c r="E5">
        <f>Alternatives_Data!D5/Alternatives_Data!D5</f>
        <v>1</v>
      </c>
    </row>
    <row r="6" spans="1:5" x14ac:dyDescent="0.25">
      <c r="A6" t="s">
        <v>4</v>
      </c>
      <c r="B6">
        <f>SUM(B2:B5)</f>
        <v>7</v>
      </c>
      <c r="C6">
        <f>SUM(C2:C5)</f>
        <v>3.5</v>
      </c>
      <c r="D6">
        <f>SUM(D2:D5)</f>
        <v>2.3333333333333335</v>
      </c>
      <c r="E6">
        <f>SUM(E2:E5)</f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defaultRowHeight="15" x14ac:dyDescent="0.25"/>
  <sheetData>
    <row r="1" spans="1:7" x14ac:dyDescent="0.25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7" x14ac:dyDescent="0.25">
      <c r="A2" t="s">
        <v>12</v>
      </c>
      <c r="B2">
        <f>Alt_Pairwise_Jaminan!B2/Alt_Pairwise_Jaminan!B6</f>
        <v>0.14285714285714285</v>
      </c>
      <c r="C2">
        <f>Alt_Pairwise_Jaminan!C2/Alt_Pairwise_Jaminan!C6</f>
        <v>0.14285714285714285</v>
      </c>
      <c r="D2">
        <f>Alt_Pairwise_Jaminan!D2/Alt_Pairwise_Jaminan!D6</f>
        <v>0.14285714285714285</v>
      </c>
      <c r="E2">
        <f>Alt_Pairwise_Jaminan!E2/Alt_Pairwise_Jaminan!E6</f>
        <v>0.14285714285714285</v>
      </c>
      <c r="G2">
        <f>AVERAGE(B2:E2)</f>
        <v>0.14285714285714285</v>
      </c>
    </row>
    <row r="3" spans="1:7" x14ac:dyDescent="0.25">
      <c r="A3" t="s">
        <v>13</v>
      </c>
      <c r="B3">
        <f>Alt_Pairwise_Jaminan!B3/Alt_Pairwise_Jaminan!B6</f>
        <v>0.2857142857142857</v>
      </c>
      <c r="C3">
        <f>Alt_Pairwise_Jaminan!C3/Alt_Pairwise_Jaminan!C6</f>
        <v>0.2857142857142857</v>
      </c>
      <c r="D3">
        <f>Alt_Pairwise_Jaminan!D3/Alt_Pairwise_Jaminan!D6</f>
        <v>0.2857142857142857</v>
      </c>
      <c r="E3">
        <f>Alt_Pairwise_Jaminan!E3/Alt_Pairwise_Jaminan!E6</f>
        <v>0.2857142857142857</v>
      </c>
      <c r="G3">
        <f>AVERAGE(B3:E3)</f>
        <v>0.2857142857142857</v>
      </c>
    </row>
    <row r="4" spans="1:7" x14ac:dyDescent="0.25">
      <c r="A4" t="s">
        <v>14</v>
      </c>
      <c r="B4">
        <f>Alt_Pairwise_Jaminan!B4/Alt_Pairwise_Jaminan!B6</f>
        <v>0.42857142857142855</v>
      </c>
      <c r="C4">
        <f>Alt_Pairwise_Jaminan!C4/Alt_Pairwise_Jaminan!C6</f>
        <v>0.42857142857142855</v>
      </c>
      <c r="D4">
        <f>Alt_Pairwise_Jaminan!D4/Alt_Pairwise_Jaminan!D6</f>
        <v>0.42857142857142855</v>
      </c>
      <c r="E4">
        <f>Alt_Pairwise_Jaminan!E4/Alt_Pairwise_Jaminan!E6</f>
        <v>0.42857142857142855</v>
      </c>
      <c r="G4">
        <f>AVERAGE(B4:E4)</f>
        <v>0.42857142857142855</v>
      </c>
    </row>
    <row r="5" spans="1:7" x14ac:dyDescent="0.25">
      <c r="A5" t="s">
        <v>15</v>
      </c>
      <c r="B5">
        <f>Alt_Pairwise_Jaminan!B5/Alt_Pairwise_Jaminan!B6</f>
        <v>0.14285714285714285</v>
      </c>
      <c r="C5">
        <f>Alt_Pairwise_Jaminan!C5/Alt_Pairwise_Jaminan!C6</f>
        <v>0.14285714285714285</v>
      </c>
      <c r="D5">
        <f>Alt_Pairwise_Jaminan!D5/Alt_Pairwise_Jaminan!D6</f>
        <v>0.14285714285714285</v>
      </c>
      <c r="E5">
        <f>Alt_Pairwise_Jaminan!E5/Alt_Pairwise_Jaminan!E6</f>
        <v>0.14285714285714285</v>
      </c>
      <c r="G5">
        <f>AVERAGE(B5:E5)</f>
        <v>0.14285714285714285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5" x14ac:dyDescent="0.25"/>
  <sheetData>
    <row r="1" spans="1:5" x14ac:dyDescent="0.25"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12</v>
      </c>
      <c r="B2" t="e">
        <f>Alternatives_Data!E2/Alternatives_Data!E2</f>
        <v>#DIV/0!</v>
      </c>
      <c r="C2" t="e">
        <f>Alternatives_Data!E2/Alternatives_Data!E3</f>
        <v>#DIV/0!</v>
      </c>
      <c r="D2" t="e">
        <f>Alternatives_Data!E2/Alternatives_Data!E4</f>
        <v>#DIV/0!</v>
      </c>
      <c r="E2" t="e">
        <f>Alternatives_Data!E2/Alternatives_Data!E5</f>
        <v>#DIV/0!</v>
      </c>
    </row>
    <row r="3" spans="1:5" x14ac:dyDescent="0.25">
      <c r="A3" t="s">
        <v>13</v>
      </c>
      <c r="B3" t="e">
        <f>Alternatives_Data!E3/Alternatives_Data!E2</f>
        <v>#DIV/0!</v>
      </c>
      <c r="C3" t="e">
        <f>Alternatives_Data!E3/Alternatives_Data!E3</f>
        <v>#DIV/0!</v>
      </c>
      <c r="D3" t="e">
        <f>Alternatives_Data!E3/Alternatives_Data!E4</f>
        <v>#DIV/0!</v>
      </c>
      <c r="E3" t="e">
        <f>Alternatives_Data!E3/Alternatives_Data!E5</f>
        <v>#DIV/0!</v>
      </c>
    </row>
    <row r="4" spans="1:5" x14ac:dyDescent="0.25">
      <c r="A4" t="s">
        <v>14</v>
      </c>
      <c r="B4" t="e">
        <f>Alternatives_Data!E4/Alternatives_Data!E2</f>
        <v>#DIV/0!</v>
      </c>
      <c r="C4" t="e">
        <f>Alternatives_Data!E4/Alternatives_Data!E3</f>
        <v>#DIV/0!</v>
      </c>
      <c r="D4" t="e">
        <f>Alternatives_Data!E4/Alternatives_Data!E4</f>
        <v>#DIV/0!</v>
      </c>
      <c r="E4" t="e">
        <f>Alternatives_Data!E4/Alternatives_Data!E5</f>
        <v>#DIV/0!</v>
      </c>
    </row>
    <row r="5" spans="1:5" x14ac:dyDescent="0.25">
      <c r="A5" t="s">
        <v>15</v>
      </c>
      <c r="B5" t="e">
        <f>Alternatives_Data!E5/Alternatives_Data!E2</f>
        <v>#DIV/0!</v>
      </c>
      <c r="C5" t="e">
        <f>Alternatives_Data!E5/Alternatives_Data!E3</f>
        <v>#DIV/0!</v>
      </c>
      <c r="D5" t="e">
        <f>Alternatives_Data!E5/Alternatives_Data!E4</f>
        <v>#DIV/0!</v>
      </c>
      <c r="E5" t="e">
        <f>Alternatives_Data!E5/Alternatives_Data!E5</f>
        <v>#DIV/0!</v>
      </c>
    </row>
    <row r="6" spans="1:5" x14ac:dyDescent="0.25">
      <c r="A6" t="s">
        <v>4</v>
      </c>
      <c r="B6" t="e">
        <f>SUM(B2:B5)</f>
        <v>#DIV/0!</v>
      </c>
      <c r="C6" t="e">
        <f>SUM(C2:C5)</f>
        <v>#DIV/0!</v>
      </c>
      <c r="D6" t="e">
        <f>SUM(D2:D5)</f>
        <v>#DIV/0!</v>
      </c>
      <c r="E6" t="e">
        <f>SUM(E2:E5)</f>
        <v>#DIV/0!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/>
  </sheetViews>
  <sheetFormatPr defaultRowHeight="15" x14ac:dyDescent="0.25"/>
  <sheetData>
    <row r="1" spans="1:7" x14ac:dyDescent="0.25">
      <c r="B1" t="s">
        <v>12</v>
      </c>
      <c r="C1" t="s">
        <v>13</v>
      </c>
      <c r="D1" t="s">
        <v>14</v>
      </c>
      <c r="E1" t="s">
        <v>15</v>
      </c>
      <c r="G1" t="s">
        <v>16</v>
      </c>
    </row>
    <row r="2" spans="1:7" x14ac:dyDescent="0.25">
      <c r="A2" t="s">
        <v>12</v>
      </c>
      <c r="B2" t="e">
        <f>Alt_Pairwise_Pekerjaan!B2/Alt_Pairwise_Pekerjaan!B6</f>
        <v>#DIV/0!</v>
      </c>
      <c r="C2" t="e">
        <f>Alt_Pairwise_Pekerjaan!C2/Alt_Pairwise_Pekerjaan!C6</f>
        <v>#DIV/0!</v>
      </c>
      <c r="D2" t="e">
        <f>Alt_Pairwise_Pekerjaan!D2/Alt_Pairwise_Pekerjaan!D6</f>
        <v>#DIV/0!</v>
      </c>
      <c r="E2" t="e">
        <f>Alt_Pairwise_Pekerjaan!E2/Alt_Pairwise_Pekerjaan!E6</f>
        <v>#DIV/0!</v>
      </c>
      <c r="G2" t="e">
        <f>AVERAGE(B2:E2)</f>
        <v>#DIV/0!</v>
      </c>
    </row>
    <row r="3" spans="1:7" x14ac:dyDescent="0.25">
      <c r="A3" t="s">
        <v>13</v>
      </c>
      <c r="B3" t="e">
        <f>Alt_Pairwise_Pekerjaan!B3/Alt_Pairwise_Pekerjaan!B6</f>
        <v>#DIV/0!</v>
      </c>
      <c r="C3" t="e">
        <f>Alt_Pairwise_Pekerjaan!C3/Alt_Pairwise_Pekerjaan!C6</f>
        <v>#DIV/0!</v>
      </c>
      <c r="D3" t="e">
        <f>Alt_Pairwise_Pekerjaan!D3/Alt_Pairwise_Pekerjaan!D6</f>
        <v>#DIV/0!</v>
      </c>
      <c r="E3" t="e">
        <f>Alt_Pairwise_Pekerjaan!E3/Alt_Pairwise_Pekerjaan!E6</f>
        <v>#DIV/0!</v>
      </c>
      <c r="G3" t="e">
        <f>AVERAGE(B3:E3)</f>
        <v>#DIV/0!</v>
      </c>
    </row>
    <row r="4" spans="1:7" x14ac:dyDescent="0.25">
      <c r="A4" t="s">
        <v>14</v>
      </c>
      <c r="B4" t="e">
        <f>Alt_Pairwise_Pekerjaan!B4/Alt_Pairwise_Pekerjaan!B6</f>
        <v>#DIV/0!</v>
      </c>
      <c r="C4" t="e">
        <f>Alt_Pairwise_Pekerjaan!C4/Alt_Pairwise_Pekerjaan!C6</f>
        <v>#DIV/0!</v>
      </c>
      <c r="D4" t="e">
        <f>Alt_Pairwise_Pekerjaan!D4/Alt_Pairwise_Pekerjaan!D6</f>
        <v>#DIV/0!</v>
      </c>
      <c r="E4" t="e">
        <f>Alt_Pairwise_Pekerjaan!E4/Alt_Pairwise_Pekerjaan!E6</f>
        <v>#DIV/0!</v>
      </c>
      <c r="G4" t="e">
        <f>AVERAGE(B4:E4)</f>
        <v>#DIV/0!</v>
      </c>
    </row>
    <row r="5" spans="1:7" x14ac:dyDescent="0.25">
      <c r="A5" t="s">
        <v>15</v>
      </c>
      <c r="B5" t="e">
        <f>Alt_Pairwise_Pekerjaan!B5/Alt_Pairwise_Pekerjaan!B6</f>
        <v>#DIV/0!</v>
      </c>
      <c r="C5" t="e">
        <f>Alt_Pairwise_Pekerjaan!C5/Alt_Pairwise_Pekerjaan!C6</f>
        <v>#DIV/0!</v>
      </c>
      <c r="D5" t="e">
        <f>Alt_Pairwise_Pekerjaan!D5/Alt_Pairwise_Pekerjaan!D6</f>
        <v>#DIV/0!</v>
      </c>
      <c r="E5" t="e">
        <f>Alt_Pairwise_Pekerjaan!E5/Alt_Pairwise_Pekerjaan!E6</f>
        <v>#DIV/0!</v>
      </c>
      <c r="G5" t="e">
        <f>AVERAGE(B5:E5)</f>
        <v>#DIV/0!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tabSelected="1" workbookViewId="0"/>
  </sheetViews>
  <sheetFormatPr defaultRowHeight="15" x14ac:dyDescent="0.25"/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H1" t="s">
        <v>17</v>
      </c>
    </row>
    <row r="2" spans="1:8" x14ac:dyDescent="0.25">
      <c r="A2" t="s">
        <v>12</v>
      </c>
      <c r="B2">
        <f>Alt_Normalized_Usia!G2</f>
        <v>0.27272727272727276</v>
      </c>
      <c r="C2">
        <f>Alt_Normalized_Pendapatan!G2</f>
        <v>0.33333333333333331</v>
      </c>
      <c r="D2">
        <f>Alt_Normalized_Jaminan!G2</f>
        <v>0.14285714285714285</v>
      </c>
      <c r="E2" t="e">
        <f>Alt_Normalized_Pekerjaan!G2</f>
        <v>#DIV/0!</v>
      </c>
      <c r="H2" t="e">
        <f>SUMPRODUCT(B2:E2,B7:E7)</f>
        <v>#DIV/0!</v>
      </c>
    </row>
    <row r="3" spans="1:8" x14ac:dyDescent="0.25">
      <c r="A3" t="s">
        <v>13</v>
      </c>
      <c r="B3">
        <f>Alt_Normalized_Usia!G3</f>
        <v>0.27272727272727276</v>
      </c>
      <c r="C3">
        <f>Alt_Normalized_Pendapatan!G3</f>
        <v>0.1111111111111111</v>
      </c>
      <c r="D3">
        <f>Alt_Normalized_Jaminan!G3</f>
        <v>0.2857142857142857</v>
      </c>
      <c r="E3" t="e">
        <f>Alt_Normalized_Pekerjaan!G3</f>
        <v>#DIV/0!</v>
      </c>
      <c r="H3" t="e">
        <f>SUMPRODUCT(B3:E3,B7:E7)</f>
        <v>#DIV/0!</v>
      </c>
    </row>
    <row r="4" spans="1:8" x14ac:dyDescent="0.25">
      <c r="A4" t="s">
        <v>14</v>
      </c>
      <c r="B4">
        <f>Alt_Normalized_Usia!G4</f>
        <v>0.18181818181818182</v>
      </c>
      <c r="C4">
        <f>Alt_Normalized_Pendapatan!G4</f>
        <v>0.22222222222222221</v>
      </c>
      <c r="D4">
        <f>Alt_Normalized_Jaminan!G4</f>
        <v>0.42857142857142855</v>
      </c>
      <c r="E4" t="e">
        <f>Alt_Normalized_Pekerjaan!G4</f>
        <v>#DIV/0!</v>
      </c>
      <c r="H4" t="e">
        <f>SUMPRODUCT(B4:E4,B7:E7)</f>
        <v>#DIV/0!</v>
      </c>
    </row>
    <row r="5" spans="1:8" x14ac:dyDescent="0.25">
      <c r="A5" t="s">
        <v>15</v>
      </c>
      <c r="B5">
        <f>Alt_Normalized_Usia!G5</f>
        <v>0.27272727272727276</v>
      </c>
      <c r="C5">
        <f>Alt_Normalized_Pendapatan!G5</f>
        <v>0.33333333333333331</v>
      </c>
      <c r="D5">
        <f>Alt_Normalized_Jaminan!G5</f>
        <v>0.14285714285714285</v>
      </c>
      <c r="E5" t="e">
        <f>Alt_Normalized_Pekerjaan!G5</f>
        <v>#DIV/0!</v>
      </c>
      <c r="H5" t="e">
        <f>SUMPRODUCT(B5:E5,B7:E7)</f>
        <v>#DIV/0!</v>
      </c>
    </row>
    <row r="7" spans="1:8" x14ac:dyDescent="0.25">
      <c r="B7">
        <f>Criteria_Normalized!G2</f>
        <v>0.17575091575091578</v>
      </c>
      <c r="C7">
        <f>Criteria_Normalized!G3</f>
        <v>0.17835164835164835</v>
      </c>
      <c r="D7">
        <f>Criteria_Normalized!G4</f>
        <v>0.26901098901098897</v>
      </c>
      <c r="E7">
        <f>Criteria_Normalized!G5</f>
        <v>0.3768864468864469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Criteria_Pairwise</vt:lpstr>
      <vt:lpstr>Criteria_Normalized</vt:lpstr>
      <vt:lpstr>Alternatives_Data</vt:lpstr>
      <vt:lpstr>Alt_Pairwise_Usia</vt:lpstr>
      <vt:lpstr>Alt_Normalized_Usia</vt:lpstr>
      <vt:lpstr>Alt_Pairwise_Pendapatan</vt:lpstr>
      <vt:lpstr>Alt_Normalized_Pendapatan</vt:lpstr>
      <vt:lpstr>Alt_Pairwise_Jaminan</vt:lpstr>
      <vt:lpstr>Alt_Normalized_Jaminan</vt:lpstr>
      <vt:lpstr>Alt_Pairwise_Pekerjaan</vt:lpstr>
      <vt:lpstr>Alt_Normalized_Pekerjaan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adji shaputra</cp:lastModifiedBy>
  <dcterms:created xsi:type="dcterms:W3CDTF">2025-10-02T14:29:09Z</dcterms:created>
  <dcterms:modified xsi:type="dcterms:W3CDTF">2025-10-02T15:09:24Z</dcterms:modified>
</cp:coreProperties>
</file>