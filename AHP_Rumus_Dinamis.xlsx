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15A272B-29ED-4C54-AD23-FC1843AF9BB2}" xr6:coauthVersionLast="47" xr6:coauthVersionMax="47" xr10:uidLastSave="{00000000-0000-0000-0000-000000000000}"/>
  <bookViews>
    <workbookView xWindow="14295" yWindow="0" windowWidth="14610" windowHeight="16305" firstSheet="3" activeTab="5" xr2:uid="{00000000-000D-0000-FFFF-FFFF00000000}"/>
  </bookViews>
  <sheets>
    <sheet name="Instruksi_AHP" sheetId="1" r:id="rId1"/>
    <sheet name="Criteria_Pairwise" sheetId="2" r:id="rId2"/>
    <sheet name="Criteria_Normalized" sheetId="3" r:id="rId3"/>
    <sheet name="RI_Table" sheetId="4" r:id="rId4"/>
    <sheet name="Alternatives_Data" sheetId="5" r:id="rId5"/>
    <sheet name="Aggregation" sheetId="1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4" l="1"/>
  <c r="K6" i="14"/>
  <c r="K5" i="14"/>
  <c r="K4" i="14"/>
  <c r="K3" i="14"/>
  <c r="K2" i="14"/>
  <c r="K11" i="14"/>
  <c r="K10" i="14"/>
  <c r="K9" i="14"/>
  <c r="K8" i="14"/>
  <c r="J11" i="14"/>
  <c r="J10" i="14"/>
  <c r="J9" i="14"/>
  <c r="J8" i="14"/>
  <c r="J7" i="14"/>
  <c r="J6" i="14"/>
  <c r="J5" i="14"/>
  <c r="J4" i="14"/>
  <c r="J3" i="14"/>
  <c r="J2" i="14"/>
  <c r="G12" i="14"/>
  <c r="H12" i="14"/>
  <c r="I12" i="14"/>
  <c r="F12" i="14"/>
  <c r="F3" i="3"/>
  <c r="I11" i="14"/>
  <c r="I10" i="14"/>
  <c r="I9" i="14"/>
  <c r="I8" i="14"/>
  <c r="I7" i="14"/>
  <c r="I6" i="14"/>
  <c r="I5" i="14"/>
  <c r="I4" i="14"/>
  <c r="I3" i="14"/>
  <c r="I2" i="14"/>
  <c r="H11" i="14"/>
  <c r="H10" i="14"/>
  <c r="H9" i="14"/>
  <c r="H8" i="14"/>
  <c r="H7" i="14"/>
  <c r="H6" i="14"/>
  <c r="H5" i="14"/>
  <c r="H4" i="14"/>
  <c r="H3" i="14"/>
  <c r="H2" i="14"/>
  <c r="G11" i="14"/>
  <c r="G10" i="14"/>
  <c r="G9" i="14"/>
  <c r="G8" i="14"/>
  <c r="G7" i="14"/>
  <c r="G6" i="14"/>
  <c r="G5" i="14"/>
  <c r="G4" i="14"/>
  <c r="G3" i="14"/>
  <c r="G2" i="14"/>
  <c r="F11" i="14"/>
  <c r="F10" i="14"/>
  <c r="F9" i="14"/>
  <c r="F8" i="14"/>
  <c r="F7" i="14"/>
  <c r="F6" i="14"/>
  <c r="F5" i="14"/>
  <c r="F4" i="14"/>
  <c r="F3" i="14"/>
  <c r="F2" i="14"/>
  <c r="E12" i="14"/>
  <c r="C12" i="14"/>
  <c r="D12" i="14"/>
  <c r="B12" i="14"/>
  <c r="B2" i="14" a="1"/>
  <c r="B2" i="14"/>
  <c r="G2" i="2"/>
  <c r="B6" i="3"/>
  <c r="B2" i="3"/>
  <c r="B12" i="3"/>
  <c r="E6" i="3"/>
  <c r="E4" i="3" s="1"/>
  <c r="G5" i="2"/>
  <c r="G4" i="2"/>
  <c r="G3" i="2"/>
  <c r="E5" i="3" l="1"/>
  <c r="E3" i="3"/>
  <c r="E2" i="3"/>
  <c r="B3" i="3"/>
  <c r="B5" i="3" l="1"/>
  <c r="B4" i="3"/>
  <c r="C6" i="3"/>
  <c r="C2" i="3" s="1"/>
  <c r="C5" i="3" l="1"/>
  <c r="C4" i="3"/>
  <c r="C3" i="3"/>
  <c r="D6" i="3"/>
  <c r="D2" i="3" s="1"/>
  <c r="F2" i="3" s="1"/>
  <c r="A17" i="14" l="1"/>
  <c r="D5" i="3"/>
  <c r="F5" i="3" s="1"/>
  <c r="D17" i="14" s="1"/>
  <c r="D4" i="3"/>
  <c r="F4" i="3" s="1"/>
  <c r="C17" i="14" s="1"/>
  <c r="D3" i="3"/>
  <c r="B17" i="14" s="1"/>
  <c r="E17" i="14" l="1"/>
  <c r="G2" i="3" a="1"/>
  <c r="G3" i="3" s="1"/>
  <c r="H3" i="3" s="1"/>
  <c r="G4" i="3" l="1"/>
  <c r="H4" i="3" s="1"/>
  <c r="G2" i="3"/>
  <c r="H2" i="3" s="1"/>
  <c r="B10" i="3" s="1"/>
  <c r="B11" i="3" s="1"/>
  <c r="B13" i="3" s="1"/>
  <c r="G5" i="3"/>
  <c r="H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<sst xmlns="http://schemas.openxmlformats.org/spreadsheetml/2006/main" count="94" uniqueCount="55">
  <si>
    <t>Template AHP Dinamis - Petunjuk Singkat</t>
  </si>
  <si>
    <t>1) Isi matriks perbandingan (pairwise) di sheet 'Criteria_Pairwise' untuk kriteria.</t>
  </si>
  <si>
    <t>2) Isi nilai perbandingan antar alternatif pada tiap sheet 'Alt_Pairwise_&lt;Kriteria&gt;' (isi diagonal =1 dan bagian atas segitiga atas).</t>
  </si>
  <si>
    <t>3) Semua sheet '..._Normalized' dan 'Aggregation' berisi rumus otomatis yang akan menghitung bobot, konsistensi, dan skor global.</t>
  </si>
  <si>
    <t>Catatan: ubah nilai pada sheet pairwise, bukan pada sheet normalized atau aggregation.</t>
  </si>
  <si>
    <t>Usia</t>
  </si>
  <si>
    <t>Pendapatan</t>
  </si>
  <si>
    <t>Jaminan</t>
  </si>
  <si>
    <t>Pekerjaan</t>
  </si>
  <si>
    <t>Weight</t>
  </si>
  <si>
    <t>AW</t>
  </si>
  <si>
    <t>Lambda_max</t>
  </si>
  <si>
    <t>CI</t>
  </si>
  <si>
    <t>RI_lookup_table_in_sheet_RI_Table</t>
  </si>
  <si>
    <t>CR</t>
  </si>
  <si>
    <t>n</t>
  </si>
  <si>
    <t>RI</t>
  </si>
  <si>
    <t>Alternative</t>
  </si>
  <si>
    <t>Alt_1</t>
  </si>
  <si>
    <t>Alt_2</t>
  </si>
  <si>
    <t>Alt_3</t>
  </si>
  <si>
    <t>Alt_4</t>
  </si>
  <si>
    <t>Alt_5</t>
  </si>
  <si>
    <t>Alt_6</t>
  </si>
  <si>
    <t>Alt_7</t>
  </si>
  <si>
    <t>Alt_8</t>
  </si>
  <si>
    <t>Alt_9</t>
  </si>
  <si>
    <t>Alt_10</t>
  </si>
  <si>
    <t>Lambda</t>
  </si>
  <si>
    <t>Kategori</t>
  </si>
  <si>
    <t>Rentang</t>
  </si>
  <si>
    <t>dibawah 25 tahun</t>
  </si>
  <si>
    <t>25 - 36 tahun</t>
  </si>
  <si>
    <t>36 - 50 tahun</t>
  </si>
  <si>
    <t>diatas 50 tahun</t>
  </si>
  <si>
    <t>Kriteria</t>
  </si>
  <si>
    <t>dibawah 2 juta</t>
  </si>
  <si>
    <t>2 - 5 juta</t>
  </si>
  <si>
    <t>5-10 juta</t>
  </si>
  <si>
    <t>diatas 10 juta</t>
  </si>
  <si>
    <t>PNS / Karyawan Tetap</t>
  </si>
  <si>
    <t>Buruh/Karyawan Swasta</t>
  </si>
  <si>
    <t>Wirausaha</t>
  </si>
  <si>
    <t>Lainnya</t>
  </si>
  <si>
    <t>SHM/Sertif Tanah</t>
  </si>
  <si>
    <t>BPKB</t>
  </si>
  <si>
    <t>Tanpa Jaminan</t>
  </si>
  <si>
    <t>Norm_Usia</t>
  </si>
  <si>
    <t>Norm_Pendapatan</t>
  </si>
  <si>
    <t>Norm_Jaminan</t>
  </si>
  <si>
    <t>Norm_Pekerjaan</t>
  </si>
  <si>
    <t>Rank</t>
  </si>
  <si>
    <t>Bobot</t>
  </si>
  <si>
    <t>Total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</si>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</sst>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F6" sqref="F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x14ac:dyDescent="0.25">
      <c r="A6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B2" sqref="B2"/>
    </sheetView>
  </sheetViews>
  <sheetFormatPr defaultRowHeight="15" x14ac:dyDescent="0.25"/>
  <cols>
    <col min="2" max="5" width="9.28515625" bestFit="1" customWidth="1"/>
    <col min="7" max="7" width="9.5703125" bestFit="1" customWidth="1"/>
  </cols>
  <sheetData>
    <row r="1" spans="1:7" x14ac:dyDescent="0.25">
      <c r="B1" t="s">
        <v>5</v>
      </c>
      <c r="C1" t="s">
        <v>6</v>
      </c>
      <c r="D1" t="s">
        <v>7</v>
      </c>
      <c r="E1" t="s">
        <v>8</v>
      </c>
    </row>
    <row r="2" spans="1:7" x14ac:dyDescent="0.25">
      <c r="A2" t="s">
        <v>5</v>
      </c>
      <c r="B2" s="4">
        <v>1</v>
      </c>
      <c r="C2" s="4">
        <v>0.5</v>
      </c>
      <c r="D2" s="4">
        <v>0.5</v>
      </c>
      <c r="E2" s="4">
        <v>1</v>
      </c>
      <c r="F2" s="4"/>
      <c r="G2" s="4">
        <f>SUM(B2:B5)</f>
        <v>6</v>
      </c>
    </row>
    <row r="3" spans="1:7" x14ac:dyDescent="0.25">
      <c r="A3" t="s">
        <v>6</v>
      </c>
      <c r="B3" s="4">
        <v>2</v>
      </c>
      <c r="C3" s="4">
        <v>1</v>
      </c>
      <c r="D3" s="4">
        <v>1</v>
      </c>
      <c r="E3" s="4">
        <v>2</v>
      </c>
      <c r="F3" s="4"/>
      <c r="G3" s="4">
        <f>SUM(C2:C5)</f>
        <v>3</v>
      </c>
    </row>
    <row r="4" spans="1:7" x14ac:dyDescent="0.25">
      <c r="A4" t="s">
        <v>7</v>
      </c>
      <c r="B4" s="4">
        <v>2</v>
      </c>
      <c r="C4" s="4">
        <v>1</v>
      </c>
      <c r="D4" s="4">
        <v>1</v>
      </c>
      <c r="E4" s="4">
        <v>3</v>
      </c>
      <c r="F4" s="4"/>
      <c r="G4" s="4">
        <f>SUM(D2:D5)</f>
        <v>2.8333333333333335</v>
      </c>
    </row>
    <row r="5" spans="1:7" x14ac:dyDescent="0.25">
      <c r="A5" t="s">
        <v>8</v>
      </c>
      <c r="B5" s="4">
        <v>1</v>
      </c>
      <c r="C5" s="4">
        <v>0.5</v>
      </c>
      <c r="D5" s="4">
        <v>0.33333333333333331</v>
      </c>
      <c r="E5" s="4">
        <v>1</v>
      </c>
      <c r="F5" s="4"/>
      <c r="G5" s="4">
        <f>SUM(E2:E6)</f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>
      <selection sqref="A1:H13"/>
    </sheetView>
  </sheetViews>
  <sheetFormatPr defaultRowHeight="15" x14ac:dyDescent="0.25"/>
  <cols>
    <col min="1" max="1" width="33.42578125" bestFit="1" customWidth="1"/>
    <col min="2" max="2" width="9.5703125" bestFit="1" customWidth="1"/>
    <col min="3" max="3" width="11.5703125" bestFit="1" customWidth="1"/>
    <col min="4" max="4" width="8.5703125" bestFit="1" customWidth="1"/>
    <col min="5" max="5" width="9.85546875" bestFit="1" customWidth="1"/>
    <col min="6" max="8" width="8.5703125" bestFit="1" customWidth="1"/>
  </cols>
  <sheetData>
    <row r="1" spans="1:9" x14ac:dyDescent="0.25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28</v>
      </c>
    </row>
    <row r="2" spans="1:9" x14ac:dyDescent="0.25">
      <c r="A2" t="s">
        <v>5</v>
      </c>
      <c r="B2" s="3">
        <f>Criteria_Pairwise!B2/B6</f>
        <v>0.16666666666666666</v>
      </c>
      <c r="C2" s="3">
        <f>Criteria_Pairwise!C2/C6</f>
        <v>0.16666666666666666</v>
      </c>
      <c r="D2" s="3">
        <f>Criteria_Pairwise!D2/D6</f>
        <v>0.1764705882352941</v>
      </c>
      <c r="E2" s="3">
        <f>Criteria_Pairwise!E2/E6</f>
        <v>0.14285714285714285</v>
      </c>
      <c r="F2" s="3">
        <f>AVERAGE(B2:E2)</f>
        <v>0.16316526610644255</v>
      </c>
      <c r="G2" s="3">
        <f t="array" ref="G2:G5">MMULT(Criteria_Pairwise!B2:E5, F2:F5)</f>
        <v>0.65581232492997188</v>
      </c>
      <c r="H2" s="3">
        <f>G2/F2</f>
        <v>4.0193133047210301</v>
      </c>
      <c r="I2" s="3"/>
    </row>
    <row r="3" spans="1:9" x14ac:dyDescent="0.25">
      <c r="A3" t="s">
        <v>6</v>
      </c>
      <c r="B3" s="3">
        <f>Criteria_Pairwise!B3/B6</f>
        <v>0.33333333333333331</v>
      </c>
      <c r="C3" s="3">
        <f>Criteria_Pairwise!C3/C6</f>
        <v>0.33333333333333331</v>
      </c>
      <c r="D3" s="3">
        <f>Criteria_Pairwise!D3/D6</f>
        <v>0.3529411764705882</v>
      </c>
      <c r="E3" s="3">
        <f>Criteria_Pairwise!E3/E6</f>
        <v>0.2857142857142857</v>
      </c>
      <c r="F3" s="3">
        <f>AVERAGE(B3:E3)</f>
        <v>0.3263305322128851</v>
      </c>
      <c r="G3" s="3">
        <v>1.3116246498599438</v>
      </c>
      <c r="H3" s="3">
        <f t="shared" ref="H3:H5" si="0">G3/F3</f>
        <v>4.0193133047210301</v>
      </c>
      <c r="I3" s="3"/>
    </row>
    <row r="4" spans="1:9" x14ac:dyDescent="0.25">
      <c r="A4" t="s">
        <v>7</v>
      </c>
      <c r="B4" s="3">
        <f>Criteria_Pairwise!B4/B6</f>
        <v>0.33333333333333331</v>
      </c>
      <c r="C4" s="3">
        <f>Criteria_Pairwise!C4/C6</f>
        <v>0.33333333333333331</v>
      </c>
      <c r="D4" s="3">
        <f>Criteria_Pairwise!D4/D6</f>
        <v>0.3529411764705882</v>
      </c>
      <c r="E4" s="3">
        <f>Criteria_Pairwise!E4/E6</f>
        <v>0.42857142857142855</v>
      </c>
      <c r="F4" s="3">
        <f t="shared" ref="F3:F5" si="1">AVERAGE(B4:E4)</f>
        <v>0.36204481792717086</v>
      </c>
      <c r="G4" s="3">
        <v>1.4600840336134453</v>
      </c>
      <c r="H4" s="3">
        <f t="shared" si="0"/>
        <v>4.032882011605416</v>
      </c>
      <c r="I4" s="3"/>
    </row>
    <row r="5" spans="1:9" x14ac:dyDescent="0.25">
      <c r="A5" t="s">
        <v>8</v>
      </c>
      <c r="B5" s="3">
        <f>Criteria_Pairwise!B5/B6</f>
        <v>0.16666666666666666</v>
      </c>
      <c r="C5" s="3">
        <f>Criteria_Pairwise!C5/C6</f>
        <v>0.16666666666666666</v>
      </c>
      <c r="D5" s="3">
        <f>Criteria_Pairwise!D5/D6</f>
        <v>0.1176470588235294</v>
      </c>
      <c r="E5" s="3">
        <f>Criteria_Pairwise!E5/E6</f>
        <v>0.14285714285714285</v>
      </c>
      <c r="F5" s="3">
        <f t="shared" si="1"/>
        <v>0.14845938375350137</v>
      </c>
      <c r="G5" s="3">
        <v>0.59547152194211006</v>
      </c>
      <c r="H5" s="3">
        <f t="shared" si="0"/>
        <v>4.0110062893081757</v>
      </c>
      <c r="I5" s="3"/>
    </row>
    <row r="6" spans="1:9" x14ac:dyDescent="0.25">
      <c r="B6" s="3">
        <f>SUM(Criteria_Pairwise!B2:B5)</f>
        <v>6</v>
      </c>
      <c r="C6" s="3">
        <f>SUM(Criteria_Pairwise!C2:'Criteria_Pairwise'!C5)</f>
        <v>3</v>
      </c>
      <c r="D6" s="3">
        <f>SUM(Criteria_Pairwise!D2:'Criteria_Pairwise'!D5)</f>
        <v>2.8333333333333335</v>
      </c>
      <c r="E6" s="3">
        <f>SUM(Criteria_Pairwise!E2:'Criteria_Pairwise'!E5)</f>
        <v>7</v>
      </c>
      <c r="F6" s="3"/>
      <c r="G6" s="3"/>
      <c r="H6" s="3"/>
      <c r="I6" s="3"/>
    </row>
    <row r="7" spans="1:9" x14ac:dyDescent="0.25">
      <c r="B7" s="3"/>
      <c r="C7" s="3"/>
      <c r="D7" s="3"/>
      <c r="E7" s="3"/>
      <c r="F7" s="3"/>
      <c r="G7" s="3"/>
      <c r="H7" s="3"/>
      <c r="I7" s="3"/>
    </row>
    <row r="8" spans="1:9" x14ac:dyDescent="0.25">
      <c r="B8" s="3"/>
      <c r="C8" s="3"/>
      <c r="D8" s="3"/>
      <c r="E8" s="3"/>
      <c r="F8" s="3"/>
      <c r="G8" s="3"/>
      <c r="H8" s="3"/>
      <c r="I8" s="3"/>
    </row>
    <row r="9" spans="1:9" x14ac:dyDescent="0.25">
      <c r="B9" s="3"/>
      <c r="C9" s="3"/>
      <c r="D9" s="3"/>
      <c r="E9" s="3"/>
      <c r="F9" s="3"/>
      <c r="G9" s="3"/>
      <c r="H9" s="3"/>
      <c r="I9" s="3"/>
    </row>
    <row r="10" spans="1:9" x14ac:dyDescent="0.25">
      <c r="A10" t="s">
        <v>11</v>
      </c>
      <c r="B10" s="3">
        <f>AVERAGE(H2:H5)</f>
        <v>4.020628727588913</v>
      </c>
      <c r="C10" s="3"/>
      <c r="D10" s="3"/>
      <c r="E10" s="3"/>
      <c r="F10" s="3"/>
      <c r="G10" s="3"/>
      <c r="H10" s="3"/>
      <c r="I10" s="3"/>
    </row>
    <row r="11" spans="1:9" x14ac:dyDescent="0.25">
      <c r="A11" t="s">
        <v>12</v>
      </c>
      <c r="B11" s="3">
        <f>(B10- 4)/(4-1)</f>
        <v>6.8762425296376621E-3</v>
      </c>
      <c r="C11" s="3"/>
      <c r="D11" s="3"/>
      <c r="E11" s="3"/>
      <c r="F11" s="3"/>
      <c r="G11" s="3"/>
      <c r="H11" s="3"/>
      <c r="I11" s="3"/>
    </row>
    <row r="12" spans="1:9" x14ac:dyDescent="0.25">
      <c r="A12" t="s">
        <v>13</v>
      </c>
      <c r="B12" s="3">
        <f>VLOOKUP(4,RI_Table!A2:B11,2,FALSE)</f>
        <v>0.9</v>
      </c>
      <c r="C12" s="3"/>
      <c r="D12" s="3"/>
      <c r="E12" s="3"/>
      <c r="F12" s="3"/>
      <c r="G12" s="3"/>
      <c r="H12" s="3"/>
      <c r="I12" s="3"/>
    </row>
    <row r="13" spans="1:9" x14ac:dyDescent="0.25">
      <c r="A13" t="s">
        <v>14</v>
      </c>
      <c r="B13" s="3">
        <f>B11/B12</f>
        <v>7.6402694773751801E-3</v>
      </c>
      <c r="C13" s="3"/>
      <c r="D13" s="3"/>
      <c r="E13" s="3"/>
      <c r="F13" s="3"/>
      <c r="G13" s="3"/>
      <c r="H13" s="3"/>
      <c r="I13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selection activeCell="B11" sqref="B11"/>
    </sheetView>
  </sheetViews>
  <sheetFormatPr defaultRowHeight="15" x14ac:dyDescent="0.25"/>
  <sheetData>
    <row r="1" spans="1:2" x14ac:dyDescent="0.25">
      <c r="A1" t="s">
        <v>15</v>
      </c>
      <c r="B1" t="s">
        <v>16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0.57999999999999996</v>
      </c>
    </row>
    <row r="5" spans="1:2" x14ac:dyDescent="0.25">
      <c r="A5">
        <v>4</v>
      </c>
      <c r="B5">
        <v>0.9</v>
      </c>
    </row>
    <row r="6" spans="1:2" x14ac:dyDescent="0.25">
      <c r="A6">
        <v>5</v>
      </c>
      <c r="B6">
        <v>1.1200000000000001</v>
      </c>
    </row>
    <row r="7" spans="1:2" x14ac:dyDescent="0.25">
      <c r="A7">
        <v>6</v>
      </c>
      <c r="B7">
        <v>1.24</v>
      </c>
    </row>
    <row r="8" spans="1:2" x14ac:dyDescent="0.25">
      <c r="A8">
        <v>7</v>
      </c>
      <c r="B8">
        <v>1.32</v>
      </c>
    </row>
    <row r="9" spans="1:2" x14ac:dyDescent="0.25">
      <c r="A9">
        <v>8</v>
      </c>
      <c r="B9">
        <v>1.41</v>
      </c>
    </row>
    <row r="10" spans="1:2" x14ac:dyDescent="0.25">
      <c r="A10">
        <v>9</v>
      </c>
      <c r="B10">
        <v>1.45</v>
      </c>
    </row>
    <row r="11" spans="1:2" x14ac:dyDescent="0.25">
      <c r="A11">
        <v>10</v>
      </c>
      <c r="B11">
        <v>1.49</v>
      </c>
    </row>
    <row r="12" spans="1:2" x14ac:dyDescent="0.25">
      <c r="A12">
        <v>11</v>
      </c>
      <c r="B12">
        <v>1.51</v>
      </c>
    </row>
    <row r="13" spans="1:2" x14ac:dyDescent="0.25">
      <c r="A13">
        <v>12</v>
      </c>
      <c r="B13">
        <v>1.48</v>
      </c>
    </row>
    <row r="14" spans="1:2" x14ac:dyDescent="0.25">
      <c r="A14">
        <v>13</v>
      </c>
      <c r="B14">
        <v>1.56</v>
      </c>
    </row>
    <row r="15" spans="1:2" x14ac:dyDescent="0.25">
      <c r="A15">
        <v>14</v>
      </c>
      <c r="B15">
        <v>1.57</v>
      </c>
    </row>
    <row r="16" spans="1:2" x14ac:dyDescent="0.25">
      <c r="A16">
        <v>15</v>
      </c>
      <c r="B16">
        <v>1.59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>
      <selection activeCell="J9" sqref="J9"/>
    </sheetView>
  </sheetViews>
  <sheetFormatPr defaultRowHeight="15" x14ac:dyDescent="0.25"/>
  <cols>
    <col min="1" max="1" width="17.5703125" customWidth="1"/>
  </cols>
  <sheetData>
    <row r="1" spans="1:9" x14ac:dyDescent="0.25">
      <c r="A1" t="s">
        <v>17</v>
      </c>
      <c r="B1" t="s">
        <v>5</v>
      </c>
      <c r="C1" t="s">
        <v>6</v>
      </c>
      <c r="D1" t="s">
        <v>7</v>
      </c>
      <c r="E1" t="s">
        <v>8</v>
      </c>
      <c r="G1" t="s">
        <v>35</v>
      </c>
      <c r="H1" t="s">
        <v>29</v>
      </c>
      <c r="I1" t="s">
        <v>30</v>
      </c>
    </row>
    <row r="2" spans="1:9" x14ac:dyDescent="0.25">
      <c r="A2" t="s">
        <v>18</v>
      </c>
      <c r="B2">
        <v>3</v>
      </c>
      <c r="C2">
        <v>2</v>
      </c>
      <c r="D2">
        <v>2</v>
      </c>
      <c r="E2">
        <v>2</v>
      </c>
      <c r="G2" t="s">
        <v>5</v>
      </c>
      <c r="H2">
        <v>1</v>
      </c>
      <c r="I2" t="s">
        <v>31</v>
      </c>
    </row>
    <row r="3" spans="1:9" x14ac:dyDescent="0.25">
      <c r="A3" t="s">
        <v>19</v>
      </c>
      <c r="B3">
        <v>3</v>
      </c>
      <c r="C3">
        <v>3</v>
      </c>
      <c r="D3">
        <v>1</v>
      </c>
      <c r="E3">
        <v>1</v>
      </c>
      <c r="H3">
        <v>2</v>
      </c>
      <c r="I3" t="s">
        <v>32</v>
      </c>
    </row>
    <row r="4" spans="1:9" x14ac:dyDescent="0.25">
      <c r="A4" t="s">
        <v>20</v>
      </c>
      <c r="B4">
        <v>1</v>
      </c>
      <c r="C4">
        <v>2</v>
      </c>
      <c r="D4">
        <v>2</v>
      </c>
      <c r="E4">
        <v>2</v>
      </c>
      <c r="H4">
        <v>3</v>
      </c>
      <c r="I4" t="s">
        <v>33</v>
      </c>
    </row>
    <row r="5" spans="1:9" x14ac:dyDescent="0.25">
      <c r="A5" t="s">
        <v>21</v>
      </c>
      <c r="B5">
        <v>4</v>
      </c>
      <c r="C5">
        <v>3</v>
      </c>
      <c r="D5">
        <v>1</v>
      </c>
      <c r="E5">
        <v>1</v>
      </c>
      <c r="H5">
        <v>4</v>
      </c>
      <c r="I5" t="s">
        <v>34</v>
      </c>
    </row>
    <row r="6" spans="1:9" x14ac:dyDescent="0.25">
      <c r="A6" t="s">
        <v>22</v>
      </c>
      <c r="B6">
        <v>4</v>
      </c>
      <c r="C6">
        <v>2</v>
      </c>
      <c r="D6">
        <v>2</v>
      </c>
      <c r="E6">
        <v>3</v>
      </c>
      <c r="G6" t="s">
        <v>6</v>
      </c>
      <c r="H6">
        <v>1</v>
      </c>
      <c r="I6" t="s">
        <v>36</v>
      </c>
    </row>
    <row r="7" spans="1:9" x14ac:dyDescent="0.25">
      <c r="A7" t="s">
        <v>23</v>
      </c>
      <c r="B7">
        <v>3</v>
      </c>
      <c r="C7">
        <v>3</v>
      </c>
      <c r="D7">
        <v>1</v>
      </c>
      <c r="E7">
        <v>1</v>
      </c>
      <c r="H7">
        <v>2</v>
      </c>
      <c r="I7" t="s">
        <v>37</v>
      </c>
    </row>
    <row r="8" spans="1:9" x14ac:dyDescent="0.25">
      <c r="A8" t="s">
        <v>24</v>
      </c>
      <c r="B8">
        <v>1</v>
      </c>
      <c r="C8">
        <v>1</v>
      </c>
      <c r="D8">
        <v>3</v>
      </c>
      <c r="E8">
        <v>3</v>
      </c>
      <c r="H8">
        <v>3</v>
      </c>
      <c r="I8" t="s">
        <v>38</v>
      </c>
    </row>
    <row r="9" spans="1:9" x14ac:dyDescent="0.25">
      <c r="A9" t="s">
        <v>25</v>
      </c>
      <c r="B9">
        <v>3</v>
      </c>
      <c r="C9">
        <v>2</v>
      </c>
      <c r="D9">
        <v>2</v>
      </c>
      <c r="E9">
        <v>2</v>
      </c>
      <c r="H9">
        <v>4</v>
      </c>
      <c r="I9" t="s">
        <v>39</v>
      </c>
    </row>
    <row r="10" spans="1:9" x14ac:dyDescent="0.25">
      <c r="A10" t="s">
        <v>26</v>
      </c>
      <c r="B10">
        <v>2</v>
      </c>
      <c r="C10">
        <v>1</v>
      </c>
      <c r="D10">
        <v>1</v>
      </c>
      <c r="E10">
        <v>2</v>
      </c>
      <c r="G10" t="s">
        <v>8</v>
      </c>
      <c r="H10">
        <v>1</v>
      </c>
      <c r="I10" t="s">
        <v>40</v>
      </c>
    </row>
    <row r="11" spans="1:9" x14ac:dyDescent="0.25">
      <c r="A11" t="s">
        <v>27</v>
      </c>
      <c r="B11">
        <v>3</v>
      </c>
      <c r="C11">
        <v>3</v>
      </c>
      <c r="D11">
        <v>1</v>
      </c>
      <c r="E11">
        <v>1</v>
      </c>
      <c r="H11">
        <v>2</v>
      </c>
      <c r="I11" t="s">
        <v>41</v>
      </c>
    </row>
    <row r="12" spans="1:9" x14ac:dyDescent="0.25">
      <c r="H12">
        <v>3</v>
      </c>
      <c r="I12" t="s">
        <v>42</v>
      </c>
    </row>
    <row r="13" spans="1:9" x14ac:dyDescent="0.25">
      <c r="H13">
        <v>4</v>
      </c>
      <c r="I13" t="s">
        <v>43</v>
      </c>
    </row>
    <row r="14" spans="1:9" x14ac:dyDescent="0.25">
      <c r="G14" t="s">
        <v>7</v>
      </c>
      <c r="H14">
        <v>1</v>
      </c>
      <c r="I14" t="s">
        <v>44</v>
      </c>
    </row>
    <row r="15" spans="1:9" x14ac:dyDescent="0.25">
      <c r="H15">
        <v>2</v>
      </c>
      <c r="I15" t="s">
        <v>45</v>
      </c>
    </row>
    <row r="16" spans="1:9" x14ac:dyDescent="0.25">
      <c r="H16">
        <v>3</v>
      </c>
      <c r="I16" t="s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7"/>
  <sheetViews>
    <sheetView tabSelected="1" workbookViewId="0">
      <selection activeCell="F33" sqref="F32:F33"/>
    </sheetView>
  </sheetViews>
  <sheetFormatPr defaultRowHeight="15" x14ac:dyDescent="0.25"/>
  <cols>
    <col min="1" max="1" width="11" bestFit="1" customWidth="1"/>
    <col min="2" max="3" width="11.5703125" bestFit="1" customWidth="1"/>
    <col min="4" max="5" width="9.85546875" bestFit="1" customWidth="1"/>
    <col min="6" max="6" width="10.7109375" bestFit="1" customWidth="1"/>
    <col min="7" max="7" width="17.85546875" bestFit="1" customWidth="1"/>
    <col min="8" max="8" width="14.42578125" bestFit="1" customWidth="1"/>
    <col min="9" max="9" width="16" bestFit="1" customWidth="1"/>
    <col min="10" max="10" width="8.42578125" bestFit="1" customWidth="1"/>
    <col min="11" max="11" width="7.140625" customWidth="1"/>
  </cols>
  <sheetData>
    <row r="1" spans="1:11" x14ac:dyDescent="0.25">
      <c r="A1" t="s">
        <v>17</v>
      </c>
      <c r="B1" t="s">
        <v>5</v>
      </c>
      <c r="C1" t="s">
        <v>6</v>
      </c>
      <c r="D1" t="s">
        <v>7</v>
      </c>
      <c r="E1" t="s">
        <v>8</v>
      </c>
      <c r="F1" t="s">
        <v>47</v>
      </c>
      <c r="G1" t="s">
        <v>48</v>
      </c>
      <c r="H1" t="s">
        <v>49</v>
      </c>
      <c r="I1" t="s">
        <v>50</v>
      </c>
      <c r="J1" t="s">
        <v>54</v>
      </c>
      <c r="K1" t="s">
        <v>51</v>
      </c>
    </row>
    <row r="2" spans="1:11" x14ac:dyDescent="0.25">
      <c r="A2" t="s">
        <v>18</v>
      </c>
      <c r="B2" cm="1">
        <f t="array" ref="B2:E11">Alternatives_Data!B2:E11</f>
        <v>3</v>
      </c>
      <c r="C2">
        <v>2</v>
      </c>
      <c r="D2">
        <v>2</v>
      </c>
      <c r="E2">
        <v>2</v>
      </c>
      <c r="F2">
        <f>B2/B12</f>
        <v>0.1111111111111111</v>
      </c>
      <c r="G2">
        <f>C2/C12</f>
        <v>9.0909090909090912E-2</v>
      </c>
      <c r="H2">
        <f>D2/D12</f>
        <v>0.125</v>
      </c>
      <c r="I2">
        <f>E2/E12</f>
        <v>0.1111111111111111</v>
      </c>
      <c r="J2">
        <f>(A17*F2)+(B17*G2)+(C17*H2)+(D17*I2)</f>
        <v>0.10954697535579885</v>
      </c>
      <c r="K2">
        <f>RANK(J2,J2:J11)</f>
        <v>3</v>
      </c>
    </row>
    <row r="3" spans="1:11" x14ac:dyDescent="0.25">
      <c r="A3" t="s">
        <v>19</v>
      </c>
      <c r="B3">
        <v>3</v>
      </c>
      <c r="C3">
        <v>3</v>
      </c>
      <c r="D3">
        <v>1</v>
      </c>
      <c r="E3">
        <v>1</v>
      </c>
      <c r="F3">
        <f>B3/B12</f>
        <v>0.1111111111111111</v>
      </c>
      <c r="G3">
        <f>C3/C12</f>
        <v>0.13636363636363635</v>
      </c>
      <c r="H3">
        <f>D3/D12</f>
        <v>6.25E-2</v>
      </c>
      <c r="I3">
        <f>E3/E12</f>
        <v>5.5555555555555552E-2</v>
      </c>
      <c r="J3">
        <f>(A17*F3)+(B17*G3)+(C17*H3)+(D17*I3)</f>
        <v>9.3504636703166097E-2</v>
      </c>
      <c r="K3">
        <f>RANK(J3,J2:J11)</f>
        <v>7</v>
      </c>
    </row>
    <row r="4" spans="1:11" x14ac:dyDescent="0.25">
      <c r="A4" t="s">
        <v>20</v>
      </c>
      <c r="B4">
        <v>1</v>
      </c>
      <c r="C4">
        <v>2</v>
      </c>
      <c r="D4">
        <v>2</v>
      </c>
      <c r="E4">
        <v>2</v>
      </c>
      <c r="F4">
        <f>B4/B12</f>
        <v>3.7037037037037035E-2</v>
      </c>
      <c r="G4">
        <f>C4/C12</f>
        <v>9.0909090909090912E-2</v>
      </c>
      <c r="H4">
        <f>D4/D12</f>
        <v>0.125</v>
      </c>
      <c r="I4">
        <f>E4/E12</f>
        <v>0.1111111111111111</v>
      </c>
      <c r="J4">
        <f>(A17*F4)+(B17*G4)+(C17*H4)+(D17*I4)</f>
        <v>9.746065934791423E-2</v>
      </c>
      <c r="K4">
        <f>RANK(J4,J2:J11)</f>
        <v>6</v>
      </c>
    </row>
    <row r="5" spans="1:11" x14ac:dyDescent="0.25">
      <c r="A5" t="s">
        <v>21</v>
      </c>
      <c r="B5">
        <v>4</v>
      </c>
      <c r="C5">
        <v>3</v>
      </c>
      <c r="D5">
        <v>1</v>
      </c>
      <c r="E5">
        <v>1</v>
      </c>
      <c r="F5">
        <f>B5/B12</f>
        <v>0.14814814814814814</v>
      </c>
      <c r="G5">
        <f>C5/C12</f>
        <v>0.13636363636363635</v>
      </c>
      <c r="H5">
        <f>D5/D12</f>
        <v>6.25E-2</v>
      </c>
      <c r="I5">
        <f>E5/E12</f>
        <v>5.5555555555555552E-2</v>
      </c>
      <c r="J5">
        <f>(A17*F5)+(B17*G5)+(C17*H5)+(D17*I5)</f>
        <v>9.9547794707108408E-2</v>
      </c>
      <c r="K5">
        <f>RANK(J5,J2:J11)</f>
        <v>5</v>
      </c>
    </row>
    <row r="6" spans="1:11" x14ac:dyDescent="0.25">
      <c r="A6" t="s">
        <v>22</v>
      </c>
      <c r="B6">
        <v>4</v>
      </c>
      <c r="C6">
        <v>2</v>
      </c>
      <c r="D6">
        <v>2</v>
      </c>
      <c r="E6">
        <v>3</v>
      </c>
      <c r="F6">
        <f>B6/B12</f>
        <v>0.14814814814814814</v>
      </c>
      <c r="G6">
        <f>C6/C12</f>
        <v>9.0909090909090912E-2</v>
      </c>
      <c r="H6">
        <f>D6/D12</f>
        <v>0.125</v>
      </c>
      <c r="I6">
        <f>E6/E12</f>
        <v>0.16666666666666666</v>
      </c>
      <c r="J6">
        <f>(A17*F6)+(B17*G6)+(C17*H6)+(D17*I6)</f>
        <v>0.12383787690160239</v>
      </c>
      <c r="K6">
        <f>RANK(J6,J2:J11)</f>
        <v>1</v>
      </c>
    </row>
    <row r="7" spans="1:11" x14ac:dyDescent="0.25">
      <c r="A7" t="s">
        <v>23</v>
      </c>
      <c r="B7">
        <v>3</v>
      </c>
      <c r="C7">
        <v>3</v>
      </c>
      <c r="D7">
        <v>1</v>
      </c>
      <c r="E7">
        <v>1</v>
      </c>
      <c r="F7">
        <f>B7/B12</f>
        <v>0.1111111111111111</v>
      </c>
      <c r="G7">
        <f>C7/C12</f>
        <v>0.13636363636363635</v>
      </c>
      <c r="H7">
        <f>D7/D12</f>
        <v>6.25E-2</v>
      </c>
      <c r="I7">
        <f>E7/E12</f>
        <v>5.5555555555555552E-2</v>
      </c>
      <c r="J7">
        <f>(A17*F7)+(B17*G7)+(C17*H7)+(D17*I7)</f>
        <v>9.3504636703166097E-2</v>
      </c>
      <c r="K7">
        <f>RANK(J7,J2:J11)</f>
        <v>7</v>
      </c>
    </row>
    <row r="8" spans="1:11" x14ac:dyDescent="0.25">
      <c r="A8" t="s">
        <v>24</v>
      </c>
      <c r="B8">
        <v>1</v>
      </c>
      <c r="C8">
        <v>1</v>
      </c>
      <c r="D8">
        <v>3</v>
      </c>
      <c r="E8">
        <v>3</v>
      </c>
      <c r="F8">
        <f>B8/B12</f>
        <v>3.7037037037037035E-2</v>
      </c>
      <c r="G8">
        <f>C8/C12</f>
        <v>4.5454545454545456E-2</v>
      </c>
      <c r="H8">
        <f>D8/D12</f>
        <v>0.1875</v>
      </c>
      <c r="I8">
        <f>E8/E12</f>
        <v>0.16666666666666666</v>
      </c>
      <c r="J8">
        <f>(A17*F8)+(B17*G8)+(C17*H8)+(D17*I8)</f>
        <v>0.113502998000547</v>
      </c>
      <c r="K8">
        <f>RANK(J8,J2:J11)</f>
        <v>2</v>
      </c>
    </row>
    <row r="9" spans="1:11" x14ac:dyDescent="0.25">
      <c r="A9" t="s">
        <v>25</v>
      </c>
      <c r="B9">
        <v>3</v>
      </c>
      <c r="C9">
        <v>2</v>
      </c>
      <c r="D9">
        <v>2</v>
      </c>
      <c r="E9">
        <v>2</v>
      </c>
      <c r="F9">
        <f>B9/B12</f>
        <v>0.1111111111111111</v>
      </c>
      <c r="G9">
        <f>C9/C12</f>
        <v>9.0909090909090912E-2</v>
      </c>
      <c r="H9">
        <f>D9/D12</f>
        <v>0.125</v>
      </c>
      <c r="I9">
        <f>E9/E12</f>
        <v>0.1111111111111111</v>
      </c>
      <c r="J9">
        <f>(A17*F9)+(B17*G9)+(C17*H9)+(D17*I9)</f>
        <v>0.10954697535579885</v>
      </c>
      <c r="K9">
        <f>RANK(J9,J2:J11)</f>
        <v>3</v>
      </c>
    </row>
    <row r="10" spans="1:11" x14ac:dyDescent="0.25">
      <c r="A10" t="s">
        <v>26</v>
      </c>
      <c r="B10">
        <v>2</v>
      </c>
      <c r="C10">
        <v>1</v>
      </c>
      <c r="D10">
        <v>1</v>
      </c>
      <c r="E10">
        <v>2</v>
      </c>
      <c r="F10">
        <f>B10/B12</f>
        <v>7.407407407407407E-2</v>
      </c>
      <c r="G10">
        <f>C10/C12</f>
        <v>4.5454545454545456E-2</v>
      </c>
      <c r="H10">
        <f>D10/D12</f>
        <v>6.25E-2</v>
      </c>
      <c r="I10">
        <f>E10/E12</f>
        <v>0.1111111111111111</v>
      </c>
      <c r="J10">
        <f>(A17*F10)+(B17*G10)+(C17*H10)+(D17*I10)</f>
        <v>6.6042810221731779E-2</v>
      </c>
      <c r="K10">
        <f>RANK(J10,J2:J11)</f>
        <v>10</v>
      </c>
    </row>
    <row r="11" spans="1:11" x14ac:dyDescent="0.25">
      <c r="A11" t="s">
        <v>27</v>
      </c>
      <c r="B11">
        <v>3</v>
      </c>
      <c r="C11">
        <v>3</v>
      </c>
      <c r="D11">
        <v>1</v>
      </c>
      <c r="E11">
        <v>1</v>
      </c>
      <c r="F11">
        <f>B11/B12</f>
        <v>0.1111111111111111</v>
      </c>
      <c r="G11">
        <f>C11/C12</f>
        <v>0.13636363636363635</v>
      </c>
      <c r="H11">
        <f>D11/D12</f>
        <v>6.25E-2</v>
      </c>
      <c r="I11">
        <f>E11/E12</f>
        <v>5.5555555555555552E-2</v>
      </c>
      <c r="J11">
        <f>(A17*F11)+(B17*G11)+(C17*H11)+(D17*I11)</f>
        <v>9.3504636703166097E-2</v>
      </c>
      <c r="K11">
        <f>RANK(J11,J2:J11)</f>
        <v>7</v>
      </c>
    </row>
    <row r="12" spans="1:11" x14ac:dyDescent="0.25">
      <c r="B12">
        <f>SUM(B2:B11)</f>
        <v>27</v>
      </c>
      <c r="C12">
        <f>SUM(C2:C11)</f>
        <v>22</v>
      </c>
      <c r="D12">
        <f t="shared" ref="D12" si="0">SUM(D2:D11)</f>
        <v>16</v>
      </c>
      <c r="E12">
        <f>SUM(E2:E11)</f>
        <v>18</v>
      </c>
      <c r="F12">
        <f>SUM(F2:F11)</f>
        <v>1</v>
      </c>
      <c r="G12">
        <f t="shared" ref="G12:I12" si="1">SUM(G2:G11)</f>
        <v>0.99999999999999989</v>
      </c>
      <c r="H12">
        <f t="shared" si="1"/>
        <v>1</v>
      </c>
      <c r="I12">
        <f t="shared" si="1"/>
        <v>1</v>
      </c>
    </row>
    <row r="15" spans="1:11" x14ac:dyDescent="0.25">
      <c r="A15" t="s">
        <v>52</v>
      </c>
    </row>
    <row r="16" spans="1:11" x14ac:dyDescent="0.25">
      <c r="A16" t="s">
        <v>5</v>
      </c>
      <c r="B16" t="s">
        <v>6</v>
      </c>
      <c r="C16" t="s">
        <v>7</v>
      </c>
      <c r="D16" t="s">
        <v>8</v>
      </c>
      <c r="E16" t="s">
        <v>53</v>
      </c>
    </row>
    <row r="17" spans="1:5" x14ac:dyDescent="0.25">
      <c r="A17" s="3">
        <f>Criteria_Normalized!F2</f>
        <v>0.16316526610644255</v>
      </c>
      <c r="B17" s="3">
        <f>Criteria_Normalized!F3</f>
        <v>0.3263305322128851</v>
      </c>
      <c r="C17" s="3">
        <f>Criteria_Normalized!F4</f>
        <v>0.36204481792717086</v>
      </c>
      <c r="D17" s="3">
        <f>Criteria_Normalized!F5</f>
        <v>0.14845938375350137</v>
      </c>
      <c r="E17" s="3">
        <f>SUM(A17:D17)</f>
        <v>0.99999999999999978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6</vt:i4>
      </vt:variant>
    </vt:vector>
  </HeadingPairs>
  <TitlesOfParts>
    <vt:vector size="6" baseType="lpstr">
      <vt:lpstr>Instruksi_AHP</vt:lpstr>
      <vt:lpstr>Criteria_Pairwise</vt:lpstr>
      <vt:lpstr>Criteria_Normalized</vt:lpstr>
      <vt:lpstr>RI_Table</vt:lpstr>
      <vt:lpstr>Alternatives_Data</vt:lpstr>
      <vt:lpstr>Aggregation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 adji shaputra</cp:lastModifiedBy>
  <dcterms:created xsi:type="dcterms:W3CDTF">2025-10-05T14:17:49Z</dcterms:created>
  <dcterms:modified xsi:type="dcterms:W3CDTF">2025-10-06T17:34:16Z</dcterms:modified>
</cp:coreProperties>
</file>